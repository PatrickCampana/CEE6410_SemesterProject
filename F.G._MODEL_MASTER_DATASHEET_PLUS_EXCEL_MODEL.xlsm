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1.xml" ContentType="application/vnd.openxmlformats-officedocument.spreadsheetml.comments+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harp Student\Documents\WRSA\GAMS\GitHub\CEE6410_SemesterProject\"/>
    </mc:Choice>
  </mc:AlternateContent>
  <xr:revisionPtr revIDLastSave="0" documentId="13_ncr:1_{04FFBC5C-DD88-4395-AB1B-3315D42DB6FB}" xr6:coauthVersionLast="45" xr6:coauthVersionMax="45" xr10:uidLastSave="{00000000-0000-0000-0000-000000000000}"/>
  <bookViews>
    <workbookView xWindow="28680" yWindow="-120" windowWidth="29040" windowHeight="15840" activeTab="5" xr2:uid="{D7B18A7C-859C-4A34-8070-54B7642DEC5E}"/>
  </bookViews>
  <sheets>
    <sheet name="GAMS MODEL TRADE OFFS" sheetId="13" r:id="rId1"/>
    <sheet name="EXCEL MODEL(DOES NOT WORK)" sheetId="1" r:id="rId2"/>
    <sheet name="Basic Reservoir Data" sheetId="10" r:id="rId3"/>
    <sheet name="Monthly Flow Demands" sheetId="3" r:id="rId4"/>
    <sheet name="WaterYears" sheetId="4" r:id="rId5"/>
    <sheet name="HydropowerData" sheetId="5" r:id="rId6"/>
    <sheet name="FlamingGorge-Elevation-Area" sheetId="8" r:id="rId7"/>
  </sheets>
  <functionGroups builtInGroupCount="19"/>
  <externalReferences>
    <externalReference r:id="rId8"/>
    <externalReference r:id="rId9"/>
    <externalReference r:id="rId10"/>
    <externalReference r:id="rId11"/>
  </externalReferences>
  <definedNames>
    <definedName name="AllowableDailyFluctuation" localSheetId="2">'[1]RTCD 10.12s Hr Allocation Model'!#REF!</definedName>
    <definedName name="AllowableDailyFluctuation">'[1]RTCD 10.12s Hr Allocation Model'!#REF!</definedName>
    <definedName name="Baseflow">'[1]RTCD 10.12s Hr Allocation Model'!$B$24</definedName>
    <definedName name="DailyFluctuation">'[1]RTCD 10.12s Hr Allocation Model'!$B$20</definedName>
    <definedName name="DailyFluctuationCalculator">'[1]RTCD 10.12s Hr Allocation Model'!$B$19</definedName>
    <definedName name="DailyVol">'[1]RTCD 10.12s Hr Allocation Model'!$B$22</definedName>
    <definedName name="DaysPerMonth">'[1]RTCD 10.12s Hr Allocation Model'!$B$21</definedName>
    <definedName name="Downramp">'[1]RTCD 10.12s Hr Allocation Model'!$B$28</definedName>
    <definedName name="InitialForecast">'[1]RTCD Monthly Allocation Model'!$A$6</definedName>
    <definedName name="maximum" localSheetId="2">#REF!</definedName>
    <definedName name="maximum">#REF!</definedName>
    <definedName name="MeanDailyDisch">'[1]RTCD 10.12s Hr Allocation Model'!$B$23</definedName>
    <definedName name="MeanDailyDischarge">'[1]RTCD 10.12s Hr Allocation Model'!#REF!</definedName>
    <definedName name="minimum" localSheetId="2">#REF!</definedName>
    <definedName name="minimum">#REF!</definedName>
    <definedName name="MonthlyVolume">'[1]RTCD 10.12s Hr Allocation Model'!$B$18</definedName>
    <definedName name="NumDays">'[1]RTCD 10.12s Hr Allocation Model'!#REF!</definedName>
    <definedName name="Peakflow">'[1]RTCD 10.12s Hr Allocation Model'!$B$25</definedName>
    <definedName name="ResidualReleaseCalc">'[1]RTCD 10.12s Hr Allocation Model'!$B$29</definedName>
    <definedName name="solver_adj" localSheetId="1" hidden="1">'EXCEL MODEL(DOES NOT WORK)'!$C$12:$C$13</definedName>
    <definedName name="solver_cvg" localSheetId="1" hidden="1">0.0001</definedName>
    <definedName name="solver_drv" localSheetId="1" hidden="1">1</definedName>
    <definedName name="solver_eng" localSheetId="1" hidden="1">3</definedName>
    <definedName name="solver_est" localSheetId="1" hidden="1">1</definedName>
    <definedName name="solver_itr" localSheetId="1" hidden="1">2147483647</definedName>
    <definedName name="solver_lhs1" localSheetId="1" hidden="1">'EXCEL MODEL(DOES NOT WORK)'!$C$12:$C$13</definedName>
    <definedName name="solver_lhs2" localSheetId="1" hidden="1">'EXCEL MODEL(DOES NOT WORK)'!$D$28:$D$51</definedName>
    <definedName name="solver_lhs3" localSheetId="1" hidden="1">'EXCEL MODEL(DOES NOT WORK)'!$D$28:$D$51</definedName>
    <definedName name="solver_lhs4" localSheetId="1" hidden="1">'EXCEL MODEL(DOES NOT WORK)'!$F$28:$F$51</definedName>
    <definedName name="solver_lhs5" localSheetId="1" hidden="1">'EXCEL MODEL(DOES NOT WORK)'!$F$28:$F$51</definedName>
    <definedName name="solver_lhs6" localSheetId="1" hidden="1">'EXCEL MODEL(DOES NOT WORK)'!#REF!</definedName>
    <definedName name="solver_lhs7" localSheetId="1" hidden="1">'EXCEL MODEL(DOES NOT WORK)'!#REF!</definedName>
    <definedName name="solver_lhs8" localSheetId="1" hidden="1">'EXCEL MODEL(DOES NOT WORK)'!#REF!</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5</definedName>
    <definedName name="solver_nwt" localSheetId="1" hidden="1">1</definedName>
    <definedName name="solver_opt" localSheetId="1" hidden="1">'EXCEL MODEL(DOES NOT WORK)'!$C$16</definedName>
    <definedName name="solver_pre" localSheetId="1" hidden="1">0.000001</definedName>
    <definedName name="solver_rbv" localSheetId="1" hidden="1">1</definedName>
    <definedName name="solver_rel1" localSheetId="1" hidden="1">5</definedName>
    <definedName name="solver_rel2" localSheetId="1" hidden="1">1</definedName>
    <definedName name="solver_rel3" localSheetId="1" hidden="1">3</definedName>
    <definedName name="solver_rel4" localSheetId="1" hidden="1">1</definedName>
    <definedName name="solver_rel5" localSheetId="1" hidden="1">3</definedName>
    <definedName name="solver_rel6" localSheetId="1" hidden="1">3</definedName>
    <definedName name="solver_rel7" localSheetId="1" hidden="1">3</definedName>
    <definedName name="solver_rel8" localSheetId="1" hidden="1">3</definedName>
    <definedName name="solver_rhs1" localSheetId="1" hidden="1">binary</definedName>
    <definedName name="solver_rhs2" localSheetId="1" hidden="1">'EXCEL MODEL(DOES NOT WORK)'!$G$12</definedName>
    <definedName name="solver_rhs3" localSheetId="1" hidden="1">'EXCEL MODEL(DOES NOT WORK)'!$K$28:$K$51</definedName>
    <definedName name="solver_rhs4" localSheetId="1" hidden="1">'EXCEL MODEL(DOES NOT WORK)'!$I$12</definedName>
    <definedName name="solver_rhs5" localSheetId="1" hidden="1">'EXCEL MODEL(DOES NOT WORK)'!$H$12</definedName>
    <definedName name="solver_rhs6" localSheetId="1" hidden="1">1</definedName>
    <definedName name="solver_rhs7" localSheetId="1" hidden="1">1</definedName>
    <definedName name="solver_rhs8"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200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 name="Upramp">'[1]RTCD 10.12s Hr Allocation Model'!$B$26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9" i="13" l="1"/>
  <c r="K20" i="13" s="1"/>
  <c r="K21" i="13" s="1"/>
  <c r="K22" i="13" s="1"/>
  <c r="K23" i="13" s="1"/>
  <c r="K24" i="13" s="1"/>
  <c r="K25" i="13" s="1"/>
  <c r="K26" i="13" s="1"/>
  <c r="K18" i="13"/>
  <c r="L17" i="13"/>
  <c r="K17" i="13"/>
  <c r="T267" i="8" l="1"/>
  <c r="T268" i="8"/>
  <c r="T269" i="8" s="1"/>
  <c r="T270" i="8" s="1"/>
  <c r="T271" i="8" s="1"/>
  <c r="T272" i="8" s="1"/>
  <c r="T273" i="8" s="1"/>
  <c r="T274" i="8" s="1"/>
  <c r="T275" i="8" s="1"/>
  <c r="T276" i="8" s="1"/>
  <c r="T277" i="8" s="1"/>
  <c r="T278" i="8" s="1"/>
  <c r="T279" i="8" s="1"/>
  <c r="T280" i="8" s="1"/>
  <c r="T281" i="8" s="1"/>
  <c r="T282" i="8" s="1"/>
  <c r="T283" i="8" s="1"/>
  <c r="T284" i="8" s="1"/>
  <c r="T285" i="8" s="1"/>
  <c r="T286" i="8" s="1"/>
  <c r="T287" i="8" s="1"/>
  <c r="T288" i="8" s="1"/>
  <c r="T289" i="8" s="1"/>
  <c r="T290" i="8" s="1"/>
  <c r="T291" i="8" s="1"/>
  <c r="T292" i="8" s="1"/>
  <c r="T293" i="8" s="1"/>
  <c r="T294" i="8" s="1"/>
  <c r="T295" i="8" s="1"/>
  <c r="T296" i="8" s="1"/>
  <c r="T297" i="8" s="1"/>
  <c r="T298" i="8" s="1"/>
  <c r="T299" i="8" s="1"/>
  <c r="T300" i="8" s="1"/>
  <c r="T301" i="8" s="1"/>
  <c r="T302" i="8" s="1"/>
  <c r="T303" i="8" s="1"/>
  <c r="T304" i="8" s="1"/>
  <c r="T305" i="8" s="1"/>
  <c r="T306" i="8" s="1"/>
  <c r="T307" i="8" s="1"/>
  <c r="T308" i="8" s="1"/>
  <c r="T309" i="8" s="1"/>
  <c r="T310" i="8" s="1"/>
  <c r="T311" i="8" s="1"/>
  <c r="T312" i="8" s="1"/>
  <c r="T313" i="8" s="1"/>
  <c r="T314" i="8" s="1"/>
  <c r="T315" i="8" s="1"/>
  <c r="T316" i="8" s="1"/>
  <c r="T317" i="8" s="1"/>
  <c r="T318" i="8" s="1"/>
  <c r="T319" i="8" s="1"/>
  <c r="T320" i="8" s="1"/>
  <c r="T321" i="8" s="1"/>
  <c r="T322" i="8" s="1"/>
  <c r="T323" i="8" s="1"/>
  <c r="T324" i="8" s="1"/>
  <c r="T325" i="8" s="1"/>
  <c r="T326" i="8" s="1"/>
  <c r="T327" i="8" s="1"/>
  <c r="T328" i="8" s="1"/>
  <c r="T329" i="8" s="1"/>
  <c r="T330" i="8" s="1"/>
  <c r="T331" i="8" s="1"/>
  <c r="T332" i="8" s="1"/>
  <c r="T333" i="8" s="1"/>
  <c r="T334" i="8" s="1"/>
  <c r="T335" i="8" s="1"/>
  <c r="T336" i="8" s="1"/>
  <c r="T337" i="8" s="1"/>
  <c r="T338" i="8" s="1"/>
  <c r="T339" i="8" s="1"/>
  <c r="T340" i="8" s="1"/>
  <c r="T341" i="8" s="1"/>
  <c r="T342" i="8" s="1"/>
  <c r="T343" i="8" s="1"/>
  <c r="T344" i="8" s="1"/>
  <c r="T345" i="8" s="1"/>
  <c r="T346" i="8" s="1"/>
  <c r="T347" i="8" s="1"/>
  <c r="T348" i="8" s="1"/>
  <c r="T349" i="8" s="1"/>
  <c r="T350" i="8" s="1"/>
  <c r="T351" i="8" s="1"/>
  <c r="T352" i="8" s="1"/>
  <c r="T353" i="8" s="1"/>
  <c r="T354" i="8" s="1"/>
  <c r="T355" i="8" s="1"/>
  <c r="T356" i="8" s="1"/>
  <c r="T357" i="8" s="1"/>
  <c r="T358" i="8" s="1"/>
  <c r="T359" i="8" s="1"/>
  <c r="T360" i="8" s="1"/>
  <c r="T361" i="8" s="1"/>
  <c r="T362" i="8" s="1"/>
  <c r="T363" i="8" s="1"/>
  <c r="T364" i="8" s="1"/>
  <c r="T365" i="8" s="1"/>
  <c r="T366" i="8" s="1"/>
  <c r="T367" i="8" s="1"/>
  <c r="T368" i="8" s="1"/>
  <c r="T369" i="8" s="1"/>
  <c r="T370" i="8" s="1"/>
  <c r="T371" i="8" s="1"/>
  <c r="T372" i="8" s="1"/>
  <c r="T373" i="8" s="1"/>
  <c r="T374" i="8" s="1"/>
  <c r="T375" i="8" s="1"/>
  <c r="T376" i="8" s="1"/>
  <c r="T377" i="8" s="1"/>
  <c r="T378" i="8" s="1"/>
  <c r="T379" i="8" s="1"/>
  <c r="T380" i="8" s="1"/>
  <c r="T381" i="8" s="1"/>
  <c r="T382" i="8" s="1"/>
  <c r="T383" i="8" s="1"/>
  <c r="T384" i="8" s="1"/>
  <c r="T385" i="8" s="1"/>
  <c r="T386" i="8" s="1"/>
  <c r="T387" i="8" s="1"/>
  <c r="T388" i="8" s="1"/>
  <c r="T389" i="8" s="1"/>
  <c r="T390" i="8" s="1"/>
  <c r="T391" i="8" s="1"/>
  <c r="T392" i="8" s="1"/>
  <c r="T393" i="8" s="1"/>
  <c r="T394" i="8" s="1"/>
  <c r="T395" i="8" s="1"/>
  <c r="T396" i="8" s="1"/>
  <c r="T397" i="8" s="1"/>
  <c r="T398" i="8" s="1"/>
  <c r="T399" i="8" s="1"/>
  <c r="T400" i="8" s="1"/>
  <c r="T401" i="8" s="1"/>
  <c r="T402" i="8" s="1"/>
  <c r="T403" i="8" s="1"/>
  <c r="T404" i="8" s="1"/>
  <c r="T405" i="8" s="1"/>
  <c r="T406" i="8" s="1"/>
  <c r="T407" i="8" s="1"/>
  <c r="T408" i="8" s="1"/>
  <c r="T409" i="8" s="1"/>
  <c r="T410" i="8" s="1"/>
  <c r="T411" i="8" s="1"/>
  <c r="T412" i="8" s="1"/>
  <c r="T413" i="8" s="1"/>
  <c r="T414" i="8" s="1"/>
  <c r="T415" i="8" s="1"/>
  <c r="T416" i="8" s="1"/>
  <c r="T417" i="8" s="1"/>
  <c r="T418" i="8" s="1"/>
  <c r="T419" i="8" s="1"/>
  <c r="T420" i="8" s="1"/>
  <c r="T421" i="8" s="1"/>
  <c r="T422" i="8" s="1"/>
  <c r="T423" i="8" s="1"/>
  <c r="T424" i="8" s="1"/>
  <c r="T425" i="8" s="1"/>
  <c r="T426" i="8" s="1"/>
  <c r="T427" i="8" s="1"/>
  <c r="T428" i="8" s="1"/>
  <c r="T429" i="8" s="1"/>
  <c r="T430" i="8" s="1"/>
  <c r="T431" i="8" s="1"/>
  <c r="T432" i="8" s="1"/>
  <c r="T433" i="8" s="1"/>
  <c r="T434" i="8" s="1"/>
  <c r="T435" i="8" s="1"/>
  <c r="T436" i="8" s="1"/>
  <c r="T437" i="8" s="1"/>
  <c r="T438" i="8" s="1"/>
  <c r="T439" i="8" s="1"/>
  <c r="T440" i="8" s="1"/>
  <c r="T441" i="8" s="1"/>
  <c r="T442" i="8" s="1"/>
  <c r="T443" i="8" s="1"/>
  <c r="T444" i="8" s="1"/>
  <c r="T445" i="8" s="1"/>
  <c r="T446" i="8" s="1"/>
  <c r="T447" i="8" s="1"/>
  <c r="T448" i="8" s="1"/>
  <c r="T449" i="8" s="1"/>
  <c r="T450" i="8" s="1"/>
  <c r="T451" i="8" s="1"/>
  <c r="T452" i="8" s="1"/>
  <c r="T453" i="8" s="1"/>
  <c r="T454" i="8" s="1"/>
  <c r="T455" i="8" s="1"/>
  <c r="T456" i="8" s="1"/>
  <c r="T457" i="8" s="1"/>
  <c r="T458" i="8" s="1"/>
  <c r="T459" i="8" s="1"/>
  <c r="T460" i="8" s="1"/>
  <c r="T461" i="8" s="1"/>
  <c r="T462" i="8" s="1"/>
  <c r="T463" i="8" s="1"/>
  <c r="T464" i="8" s="1"/>
  <c r="T465" i="8" s="1"/>
  <c r="T466" i="8" s="1"/>
  <c r="T467" i="8" s="1"/>
  <c r="T468" i="8" s="1"/>
  <c r="T469" i="8" s="1"/>
  <c r="T470" i="8" s="1"/>
  <c r="T471" i="8" s="1"/>
  <c r="T472" i="8" s="1"/>
  <c r="T473" i="8" s="1"/>
  <c r="T474" i="8" s="1"/>
  <c r="T475" i="8" s="1"/>
  <c r="T476" i="8" s="1"/>
  <c r="T477" i="8" s="1"/>
  <c r="T478" i="8" s="1"/>
  <c r="T479" i="8" s="1"/>
  <c r="T480" i="8" s="1"/>
  <c r="T481" i="8" s="1"/>
  <c r="T482" i="8" s="1"/>
  <c r="T483" i="8" s="1"/>
  <c r="T484" i="8" s="1"/>
  <c r="T485" i="8" s="1"/>
  <c r="T486" i="8" s="1"/>
  <c r="T487" i="8" s="1"/>
  <c r="T488" i="8" s="1"/>
  <c r="T489" i="8" s="1"/>
  <c r="T490" i="8" s="1"/>
  <c r="T491" i="8" s="1"/>
  <c r="T492" i="8" s="1"/>
  <c r="T493" i="8" s="1"/>
  <c r="T494" i="8" s="1"/>
  <c r="T495" i="8" s="1"/>
  <c r="T496" i="8" s="1"/>
  <c r="T497" i="8" s="1"/>
  <c r="T498" i="8" s="1"/>
  <c r="T499" i="8" s="1"/>
  <c r="T500" i="8" s="1"/>
  <c r="T501" i="8" s="1"/>
  <c r="T502" i="8" s="1"/>
  <c r="T503" i="8" s="1"/>
  <c r="T504" i="8" s="1"/>
  <c r="T505" i="8" s="1"/>
  <c r="T506" i="8" s="1"/>
  <c r="T507" i="8" s="1"/>
  <c r="T508" i="8" s="1"/>
  <c r="T509" i="8" s="1"/>
  <c r="T510" i="8" s="1"/>
  <c r="T511" i="8" s="1"/>
  <c r="T512" i="8" s="1"/>
  <c r="T513" i="8" s="1"/>
  <c r="T514" i="8" s="1"/>
  <c r="T515" i="8" s="1"/>
  <c r="T516" i="8" s="1"/>
  <c r="T517" i="8" s="1"/>
  <c r="T518" i="8" s="1"/>
  <c r="T519" i="8" s="1"/>
  <c r="T520" i="8" s="1"/>
  <c r="T521" i="8" s="1"/>
  <c r="T522" i="8" s="1"/>
  <c r="T523" i="8" s="1"/>
  <c r="T524" i="8" s="1"/>
  <c r="T525" i="8" s="1"/>
  <c r="T526" i="8" s="1"/>
  <c r="T527" i="8" s="1"/>
  <c r="T528" i="8" s="1"/>
  <c r="T529" i="8" s="1"/>
  <c r="T530" i="8" s="1"/>
  <c r="T531" i="8" s="1"/>
  <c r="T532" i="8" s="1"/>
  <c r="T533" i="8" s="1"/>
  <c r="T534" i="8" s="1"/>
  <c r="T535" i="8" s="1"/>
  <c r="T536" i="8" s="1"/>
  <c r="T537" i="8" s="1"/>
  <c r="T538" i="8" s="1"/>
  <c r="T539" i="8" s="1"/>
  <c r="T540" i="8" s="1"/>
  <c r="T541" i="8" s="1"/>
  <c r="T542" i="8" s="1"/>
  <c r="T543" i="8" s="1"/>
  <c r="T544" i="8" s="1"/>
  <c r="T545" i="8" s="1"/>
  <c r="T546" i="8" s="1"/>
  <c r="T547" i="8" s="1"/>
  <c r="T548" i="8" s="1"/>
  <c r="T549" i="8" s="1"/>
  <c r="T550" i="8" s="1"/>
  <c r="T551" i="8" s="1"/>
  <c r="T552" i="8" s="1"/>
  <c r="T553" i="8" s="1"/>
  <c r="T554" i="8" s="1"/>
  <c r="T555" i="8" s="1"/>
  <c r="T556" i="8" s="1"/>
  <c r="T557" i="8" s="1"/>
  <c r="T558" i="8" s="1"/>
  <c r="T559" i="8" s="1"/>
  <c r="T560" i="8" s="1"/>
  <c r="T561" i="8" s="1"/>
  <c r="T562" i="8" s="1"/>
  <c r="T563" i="8" s="1"/>
  <c r="T564" i="8" s="1"/>
  <c r="T565" i="8" s="1"/>
  <c r="T566" i="8" s="1"/>
  <c r="T567" i="8" s="1"/>
  <c r="T568" i="8" s="1"/>
  <c r="T569" i="8" s="1"/>
  <c r="T570" i="8" s="1"/>
  <c r="T571" i="8" s="1"/>
  <c r="T265" i="8"/>
  <c r="T266" i="8" s="1"/>
  <c r="S266" i="8"/>
  <c r="S267" i="8"/>
  <c r="S268" i="8"/>
  <c r="S269" i="8"/>
  <c r="S270" i="8"/>
  <c r="S271" i="8"/>
  <c r="S272" i="8"/>
  <c r="S273" i="8"/>
  <c r="S274" i="8"/>
  <c r="S275" i="8"/>
  <c r="S276" i="8"/>
  <c r="S277" i="8"/>
  <c r="S278" i="8"/>
  <c r="S279" i="8"/>
  <c r="S280" i="8"/>
  <c r="S281" i="8"/>
  <c r="S282" i="8"/>
  <c r="S283" i="8"/>
  <c r="S284" i="8"/>
  <c r="S285" i="8"/>
  <c r="S286" i="8"/>
  <c r="S287" i="8"/>
  <c r="S288" i="8"/>
  <c r="S289" i="8"/>
  <c r="S290" i="8"/>
  <c r="S291" i="8"/>
  <c r="S292" i="8"/>
  <c r="S293" i="8"/>
  <c r="S294" i="8"/>
  <c r="S295" i="8"/>
  <c r="S296" i="8"/>
  <c r="S297" i="8"/>
  <c r="S298" i="8"/>
  <c r="S299" i="8"/>
  <c r="S300" i="8"/>
  <c r="S301" i="8"/>
  <c r="S302" i="8"/>
  <c r="S303" i="8"/>
  <c r="S304" i="8"/>
  <c r="S305" i="8"/>
  <c r="S306" i="8"/>
  <c r="S307" i="8"/>
  <c r="S308" i="8"/>
  <c r="S309" i="8"/>
  <c r="S310" i="8"/>
  <c r="S311" i="8"/>
  <c r="S312" i="8"/>
  <c r="S313" i="8"/>
  <c r="S314" i="8"/>
  <c r="S315" i="8"/>
  <c r="S316" i="8"/>
  <c r="S317" i="8"/>
  <c r="S318" i="8"/>
  <c r="S319" i="8"/>
  <c r="S320" i="8"/>
  <c r="S321" i="8"/>
  <c r="S322" i="8"/>
  <c r="S323" i="8"/>
  <c r="S324" i="8"/>
  <c r="S325" i="8"/>
  <c r="S326" i="8"/>
  <c r="S327" i="8"/>
  <c r="S328" i="8"/>
  <c r="S329" i="8"/>
  <c r="S330" i="8"/>
  <c r="S331" i="8"/>
  <c r="S332" i="8"/>
  <c r="S333" i="8"/>
  <c r="S334" i="8"/>
  <c r="S335" i="8"/>
  <c r="S336" i="8"/>
  <c r="S337" i="8"/>
  <c r="S338" i="8"/>
  <c r="S339" i="8"/>
  <c r="S340" i="8"/>
  <c r="S341" i="8"/>
  <c r="S342" i="8"/>
  <c r="S343" i="8"/>
  <c r="S344" i="8"/>
  <c r="S345" i="8"/>
  <c r="S346" i="8"/>
  <c r="S347" i="8"/>
  <c r="S348" i="8"/>
  <c r="S349" i="8"/>
  <c r="S350" i="8"/>
  <c r="S351" i="8"/>
  <c r="S352" i="8"/>
  <c r="S353" i="8"/>
  <c r="S354" i="8"/>
  <c r="S355" i="8"/>
  <c r="S356" i="8"/>
  <c r="S357" i="8"/>
  <c r="S358" i="8"/>
  <c r="S359" i="8"/>
  <c r="S360" i="8"/>
  <c r="S361" i="8"/>
  <c r="S362" i="8"/>
  <c r="S363" i="8"/>
  <c r="S364" i="8"/>
  <c r="S365" i="8"/>
  <c r="S366" i="8"/>
  <c r="S367" i="8"/>
  <c r="S368" i="8"/>
  <c r="S369" i="8"/>
  <c r="S370" i="8"/>
  <c r="S371" i="8"/>
  <c r="S372" i="8"/>
  <c r="S373" i="8"/>
  <c r="S374" i="8"/>
  <c r="S375" i="8"/>
  <c r="S376" i="8"/>
  <c r="S377" i="8"/>
  <c r="S378" i="8"/>
  <c r="S379" i="8"/>
  <c r="S380" i="8"/>
  <c r="S381" i="8"/>
  <c r="S382" i="8"/>
  <c r="S383" i="8"/>
  <c r="S384" i="8"/>
  <c r="S385" i="8"/>
  <c r="S386" i="8"/>
  <c r="S387" i="8"/>
  <c r="S388" i="8"/>
  <c r="S389" i="8"/>
  <c r="S390" i="8"/>
  <c r="S391" i="8"/>
  <c r="S392" i="8"/>
  <c r="S393" i="8"/>
  <c r="S394" i="8"/>
  <c r="S395" i="8"/>
  <c r="S396" i="8"/>
  <c r="S397" i="8"/>
  <c r="S398" i="8"/>
  <c r="S399" i="8"/>
  <c r="S400" i="8"/>
  <c r="S401" i="8"/>
  <c r="S402" i="8"/>
  <c r="S403" i="8"/>
  <c r="S404" i="8"/>
  <c r="S405" i="8"/>
  <c r="S406" i="8"/>
  <c r="S407" i="8"/>
  <c r="S408" i="8"/>
  <c r="S409" i="8"/>
  <c r="S410" i="8"/>
  <c r="S411" i="8"/>
  <c r="S412" i="8"/>
  <c r="S413" i="8"/>
  <c r="S414" i="8"/>
  <c r="S415" i="8"/>
  <c r="S416" i="8"/>
  <c r="S417" i="8"/>
  <c r="S418" i="8"/>
  <c r="S419" i="8"/>
  <c r="S420" i="8"/>
  <c r="S421" i="8"/>
  <c r="S422" i="8"/>
  <c r="S423" i="8"/>
  <c r="S424" i="8"/>
  <c r="S425" i="8"/>
  <c r="S426" i="8"/>
  <c r="S427" i="8"/>
  <c r="S428" i="8"/>
  <c r="S429" i="8"/>
  <c r="S430" i="8"/>
  <c r="S431" i="8"/>
  <c r="S432" i="8"/>
  <c r="S433" i="8"/>
  <c r="S434" i="8"/>
  <c r="S435" i="8"/>
  <c r="S436" i="8"/>
  <c r="S437" i="8"/>
  <c r="S438" i="8"/>
  <c r="S439" i="8"/>
  <c r="S440" i="8"/>
  <c r="S441" i="8"/>
  <c r="S442" i="8"/>
  <c r="S443" i="8"/>
  <c r="S444" i="8"/>
  <c r="S445" i="8"/>
  <c r="S446" i="8"/>
  <c r="S447" i="8"/>
  <c r="S448" i="8"/>
  <c r="S449" i="8"/>
  <c r="S450" i="8"/>
  <c r="S451" i="8"/>
  <c r="S452" i="8"/>
  <c r="S453" i="8"/>
  <c r="S454" i="8"/>
  <c r="S455" i="8"/>
  <c r="S456" i="8"/>
  <c r="S457" i="8"/>
  <c r="S458" i="8"/>
  <c r="S459" i="8"/>
  <c r="S460" i="8"/>
  <c r="S461" i="8"/>
  <c r="S462" i="8"/>
  <c r="S463" i="8"/>
  <c r="S464" i="8"/>
  <c r="S465" i="8"/>
  <c r="S466" i="8"/>
  <c r="S467" i="8"/>
  <c r="S468" i="8"/>
  <c r="S469" i="8"/>
  <c r="S470" i="8"/>
  <c r="S471" i="8"/>
  <c r="S472" i="8"/>
  <c r="S473" i="8"/>
  <c r="S474" i="8"/>
  <c r="S475" i="8"/>
  <c r="S476" i="8"/>
  <c r="S477" i="8"/>
  <c r="S478" i="8"/>
  <c r="S479" i="8"/>
  <c r="S480" i="8"/>
  <c r="S481" i="8"/>
  <c r="S482" i="8"/>
  <c r="S483" i="8"/>
  <c r="S484" i="8"/>
  <c r="S485" i="8"/>
  <c r="S486" i="8"/>
  <c r="S487" i="8"/>
  <c r="S488" i="8"/>
  <c r="S489" i="8"/>
  <c r="S490" i="8"/>
  <c r="S491" i="8"/>
  <c r="S492" i="8"/>
  <c r="S493" i="8"/>
  <c r="S494" i="8"/>
  <c r="S495" i="8"/>
  <c r="S496" i="8"/>
  <c r="S497" i="8"/>
  <c r="S498" i="8"/>
  <c r="S499" i="8"/>
  <c r="S500" i="8"/>
  <c r="S501" i="8"/>
  <c r="S502" i="8"/>
  <c r="S503" i="8"/>
  <c r="S504" i="8"/>
  <c r="S505" i="8"/>
  <c r="S506" i="8"/>
  <c r="S507" i="8"/>
  <c r="S508" i="8"/>
  <c r="S509" i="8"/>
  <c r="S510" i="8"/>
  <c r="S511" i="8"/>
  <c r="S512" i="8"/>
  <c r="S513" i="8"/>
  <c r="S514" i="8"/>
  <c r="S515" i="8"/>
  <c r="S516" i="8"/>
  <c r="S517" i="8"/>
  <c r="S518" i="8"/>
  <c r="S519" i="8"/>
  <c r="S520" i="8"/>
  <c r="S521" i="8"/>
  <c r="S522" i="8"/>
  <c r="S523" i="8"/>
  <c r="S524" i="8"/>
  <c r="S525" i="8"/>
  <c r="S526" i="8"/>
  <c r="S527" i="8"/>
  <c r="S528" i="8"/>
  <c r="S529" i="8"/>
  <c r="S530" i="8"/>
  <c r="S531" i="8"/>
  <c r="S532" i="8"/>
  <c r="S533" i="8"/>
  <c r="S534" i="8"/>
  <c r="S535" i="8"/>
  <c r="S536" i="8"/>
  <c r="S537" i="8"/>
  <c r="S538" i="8"/>
  <c r="S539" i="8"/>
  <c r="S540" i="8"/>
  <c r="S541" i="8"/>
  <c r="S542" i="8"/>
  <c r="S543" i="8"/>
  <c r="S544" i="8"/>
  <c r="S545" i="8"/>
  <c r="S546" i="8"/>
  <c r="S547" i="8"/>
  <c r="S548" i="8"/>
  <c r="S549" i="8"/>
  <c r="S550" i="8"/>
  <c r="S551" i="8"/>
  <c r="S552" i="8"/>
  <c r="S553" i="8"/>
  <c r="S554" i="8"/>
  <c r="S555" i="8"/>
  <c r="S556" i="8"/>
  <c r="S557" i="8"/>
  <c r="S558" i="8"/>
  <c r="S559" i="8"/>
  <c r="S560" i="8"/>
  <c r="S561" i="8"/>
  <c r="S562" i="8"/>
  <c r="S563" i="8"/>
  <c r="S564" i="8"/>
  <c r="S565" i="8"/>
  <c r="S566" i="8"/>
  <c r="S567" i="8"/>
  <c r="S568" i="8"/>
  <c r="S569" i="8"/>
  <c r="S570" i="8"/>
  <c r="S571" i="8"/>
  <c r="S265" i="8"/>
  <c r="R500" i="8"/>
  <c r="R501" i="8" s="1"/>
  <c r="R502" i="8" s="1"/>
  <c r="R503" i="8" s="1"/>
  <c r="R504" i="8" s="1"/>
  <c r="R505" i="8" s="1"/>
  <c r="R506" i="8" s="1"/>
  <c r="R507" i="8" s="1"/>
  <c r="R508" i="8" s="1"/>
  <c r="R509" i="8" s="1"/>
  <c r="R510" i="8" s="1"/>
  <c r="R511" i="8" s="1"/>
  <c r="R512" i="8" s="1"/>
  <c r="R513" i="8" s="1"/>
  <c r="R514" i="8" s="1"/>
  <c r="R515" i="8" s="1"/>
  <c r="R516" i="8" s="1"/>
  <c r="R517" i="8" s="1"/>
  <c r="R518" i="8" s="1"/>
  <c r="R519" i="8" s="1"/>
  <c r="R520" i="8" s="1"/>
  <c r="R521" i="8" s="1"/>
  <c r="R522" i="8" s="1"/>
  <c r="R523" i="8" s="1"/>
  <c r="R524" i="8" s="1"/>
  <c r="R525" i="8" s="1"/>
  <c r="R526" i="8" s="1"/>
  <c r="R527" i="8" s="1"/>
  <c r="R528" i="8" s="1"/>
  <c r="R529" i="8" s="1"/>
  <c r="R530" i="8" s="1"/>
  <c r="R531" i="8" s="1"/>
  <c r="R532" i="8" s="1"/>
  <c r="R533" i="8" s="1"/>
  <c r="R534" i="8" s="1"/>
  <c r="R535" i="8" s="1"/>
  <c r="R536" i="8" s="1"/>
  <c r="R537" i="8" s="1"/>
  <c r="R538" i="8" s="1"/>
  <c r="R539" i="8" s="1"/>
  <c r="R540" i="8" s="1"/>
  <c r="R541" i="8" s="1"/>
  <c r="R542" i="8" s="1"/>
  <c r="R543" i="8" s="1"/>
  <c r="R544" i="8" s="1"/>
  <c r="R545" i="8" s="1"/>
  <c r="R546" i="8" s="1"/>
  <c r="R547" i="8" s="1"/>
  <c r="R548" i="8" s="1"/>
  <c r="R549" i="8" s="1"/>
  <c r="R550" i="8" s="1"/>
  <c r="R551" i="8" s="1"/>
  <c r="R552" i="8" s="1"/>
  <c r="R553" i="8" s="1"/>
  <c r="R554" i="8" s="1"/>
  <c r="R555" i="8" s="1"/>
  <c r="R556" i="8" s="1"/>
  <c r="R557" i="8" s="1"/>
  <c r="R558" i="8" s="1"/>
  <c r="R559" i="8" s="1"/>
  <c r="R560" i="8" s="1"/>
  <c r="R561" i="8" s="1"/>
  <c r="R562" i="8" s="1"/>
  <c r="R563" i="8" s="1"/>
  <c r="R564" i="8" s="1"/>
  <c r="R565" i="8" s="1"/>
  <c r="R566" i="8" s="1"/>
  <c r="R567" i="8" s="1"/>
  <c r="R568" i="8" s="1"/>
  <c r="R569" i="8" s="1"/>
  <c r="R570" i="8" s="1"/>
  <c r="R571" i="8" s="1"/>
  <c r="R398" i="8"/>
  <c r="R399" i="8" s="1"/>
  <c r="R400" i="8" s="1"/>
  <c r="R401" i="8" s="1"/>
  <c r="R402" i="8" s="1"/>
  <c r="R403" i="8" s="1"/>
  <c r="R404" i="8" s="1"/>
  <c r="R405" i="8" s="1"/>
  <c r="R406" i="8" s="1"/>
  <c r="R407" i="8" s="1"/>
  <c r="R408" i="8" s="1"/>
  <c r="R409" i="8" s="1"/>
  <c r="R410" i="8" s="1"/>
  <c r="R411" i="8" s="1"/>
  <c r="R412" i="8" s="1"/>
  <c r="R413" i="8" s="1"/>
  <c r="R414" i="8" s="1"/>
  <c r="R415" i="8" s="1"/>
  <c r="R416" i="8" s="1"/>
  <c r="R417" i="8" s="1"/>
  <c r="R418" i="8" s="1"/>
  <c r="R419" i="8" s="1"/>
  <c r="R420" i="8" s="1"/>
  <c r="R421" i="8" s="1"/>
  <c r="R422" i="8" s="1"/>
  <c r="R423" i="8" s="1"/>
  <c r="R424" i="8" s="1"/>
  <c r="R425" i="8" s="1"/>
  <c r="R426" i="8" s="1"/>
  <c r="R427" i="8" s="1"/>
  <c r="R428" i="8" s="1"/>
  <c r="R429" i="8" s="1"/>
  <c r="R430" i="8" s="1"/>
  <c r="R431" i="8" s="1"/>
  <c r="R432" i="8" s="1"/>
  <c r="R433" i="8" s="1"/>
  <c r="R434" i="8" s="1"/>
  <c r="R435" i="8" s="1"/>
  <c r="R436" i="8" s="1"/>
  <c r="R437" i="8" s="1"/>
  <c r="R438" i="8" s="1"/>
  <c r="R439" i="8" s="1"/>
  <c r="R440" i="8" s="1"/>
  <c r="R441" i="8" s="1"/>
  <c r="R442" i="8" s="1"/>
  <c r="R443" i="8" s="1"/>
  <c r="R444" i="8" s="1"/>
  <c r="R445" i="8" s="1"/>
  <c r="R446" i="8" s="1"/>
  <c r="R447" i="8" s="1"/>
  <c r="R448" i="8" s="1"/>
  <c r="R449" i="8" s="1"/>
  <c r="R450" i="8" s="1"/>
  <c r="R451" i="8" s="1"/>
  <c r="R452" i="8" s="1"/>
  <c r="R453" i="8" s="1"/>
  <c r="R454" i="8" s="1"/>
  <c r="R455" i="8" s="1"/>
  <c r="R456" i="8" s="1"/>
  <c r="R457" i="8" s="1"/>
  <c r="R458" i="8" s="1"/>
  <c r="R459" i="8" s="1"/>
  <c r="R460" i="8" s="1"/>
  <c r="R461" i="8" s="1"/>
  <c r="R462" i="8" s="1"/>
  <c r="R463" i="8" s="1"/>
  <c r="R464" i="8" s="1"/>
  <c r="R465" i="8" s="1"/>
  <c r="R466" i="8" s="1"/>
  <c r="R467" i="8" s="1"/>
  <c r="R468" i="8" s="1"/>
  <c r="R469" i="8" s="1"/>
  <c r="R470" i="8" s="1"/>
  <c r="R471" i="8" s="1"/>
  <c r="R472" i="8" s="1"/>
  <c r="R473" i="8" s="1"/>
  <c r="R474" i="8" s="1"/>
  <c r="R475" i="8" s="1"/>
  <c r="R476" i="8" s="1"/>
  <c r="R477" i="8" s="1"/>
  <c r="R478" i="8" s="1"/>
  <c r="R479" i="8" s="1"/>
  <c r="R480" i="8" s="1"/>
  <c r="R481" i="8" s="1"/>
  <c r="R482" i="8" s="1"/>
  <c r="R483" i="8" s="1"/>
  <c r="R484" i="8" s="1"/>
  <c r="R485" i="8" s="1"/>
  <c r="R486" i="8" s="1"/>
  <c r="R487" i="8" s="1"/>
  <c r="R488" i="8" s="1"/>
  <c r="R489" i="8" s="1"/>
  <c r="R490" i="8" s="1"/>
  <c r="R491" i="8" s="1"/>
  <c r="R492" i="8" s="1"/>
  <c r="R493" i="8" s="1"/>
  <c r="R494" i="8" s="1"/>
  <c r="R495" i="8" s="1"/>
  <c r="R496" i="8" s="1"/>
  <c r="R497" i="8" s="1"/>
  <c r="R498" i="8" s="1"/>
  <c r="R499" i="8" s="1"/>
  <c r="R267" i="8"/>
  <c r="R268" i="8" s="1"/>
  <c r="R269" i="8" s="1"/>
  <c r="R270" i="8" s="1"/>
  <c r="R271" i="8" s="1"/>
  <c r="R272" i="8" s="1"/>
  <c r="R273" i="8" s="1"/>
  <c r="R274" i="8" s="1"/>
  <c r="R275" i="8" s="1"/>
  <c r="R276" i="8" s="1"/>
  <c r="R277" i="8" s="1"/>
  <c r="R278" i="8" s="1"/>
  <c r="R279" i="8" s="1"/>
  <c r="R280" i="8" s="1"/>
  <c r="R281" i="8" s="1"/>
  <c r="R282" i="8" s="1"/>
  <c r="R283" i="8" s="1"/>
  <c r="R284" i="8" s="1"/>
  <c r="R285" i="8" s="1"/>
  <c r="R286" i="8" s="1"/>
  <c r="R287" i="8" s="1"/>
  <c r="R288" i="8" s="1"/>
  <c r="R289" i="8" s="1"/>
  <c r="R290" i="8" s="1"/>
  <c r="R291" i="8" s="1"/>
  <c r="R292" i="8" s="1"/>
  <c r="R293" i="8" s="1"/>
  <c r="R294" i="8" s="1"/>
  <c r="R295" i="8" s="1"/>
  <c r="R296" i="8" s="1"/>
  <c r="R297" i="8" s="1"/>
  <c r="R298" i="8" s="1"/>
  <c r="R299" i="8" s="1"/>
  <c r="R300" i="8" s="1"/>
  <c r="R301" i="8" s="1"/>
  <c r="R302" i="8" s="1"/>
  <c r="R303" i="8" s="1"/>
  <c r="R304" i="8" s="1"/>
  <c r="R305" i="8" s="1"/>
  <c r="R306" i="8" s="1"/>
  <c r="R307" i="8" s="1"/>
  <c r="R308" i="8" s="1"/>
  <c r="R309" i="8" s="1"/>
  <c r="R310" i="8" s="1"/>
  <c r="R311" i="8" s="1"/>
  <c r="R312" i="8" s="1"/>
  <c r="R313" i="8" s="1"/>
  <c r="R314" i="8" s="1"/>
  <c r="R315" i="8" s="1"/>
  <c r="R316" i="8" s="1"/>
  <c r="R317" i="8" s="1"/>
  <c r="R318" i="8" s="1"/>
  <c r="R319" i="8" s="1"/>
  <c r="R320" i="8" s="1"/>
  <c r="R321" i="8" s="1"/>
  <c r="R322" i="8" s="1"/>
  <c r="R323" i="8" s="1"/>
  <c r="R324" i="8" s="1"/>
  <c r="R325" i="8" s="1"/>
  <c r="R326" i="8" s="1"/>
  <c r="R327" i="8" s="1"/>
  <c r="R328" i="8" s="1"/>
  <c r="R329" i="8" s="1"/>
  <c r="R330" i="8" s="1"/>
  <c r="R331" i="8" s="1"/>
  <c r="R332" i="8" s="1"/>
  <c r="R333" i="8" s="1"/>
  <c r="R334" i="8" s="1"/>
  <c r="R335" i="8" s="1"/>
  <c r="R336" i="8" s="1"/>
  <c r="R337" i="8" s="1"/>
  <c r="R338" i="8" s="1"/>
  <c r="R339" i="8" s="1"/>
  <c r="R340" i="8" s="1"/>
  <c r="R341" i="8" s="1"/>
  <c r="R342" i="8" s="1"/>
  <c r="R343" i="8" s="1"/>
  <c r="R344" i="8" s="1"/>
  <c r="R345" i="8" s="1"/>
  <c r="R346" i="8" s="1"/>
  <c r="R347" i="8" s="1"/>
  <c r="R348" i="8" s="1"/>
  <c r="R349" i="8" s="1"/>
  <c r="R350" i="8" s="1"/>
  <c r="R351" i="8" s="1"/>
  <c r="R352" i="8" s="1"/>
  <c r="R353" i="8" s="1"/>
  <c r="R354" i="8" s="1"/>
  <c r="R355" i="8" s="1"/>
  <c r="R356" i="8" s="1"/>
  <c r="R357" i="8" s="1"/>
  <c r="R358" i="8" s="1"/>
  <c r="R359" i="8" s="1"/>
  <c r="R360" i="8" s="1"/>
  <c r="R361" i="8" s="1"/>
  <c r="R362" i="8" s="1"/>
  <c r="R363" i="8" s="1"/>
  <c r="R364" i="8" s="1"/>
  <c r="R365" i="8" s="1"/>
  <c r="R366" i="8" s="1"/>
  <c r="R367" i="8" s="1"/>
  <c r="R368" i="8" s="1"/>
  <c r="R369" i="8" s="1"/>
  <c r="R370" i="8" s="1"/>
  <c r="R371" i="8" s="1"/>
  <c r="R372" i="8" s="1"/>
  <c r="R373" i="8" s="1"/>
  <c r="R374" i="8" s="1"/>
  <c r="R375" i="8" s="1"/>
  <c r="R376" i="8" s="1"/>
  <c r="R377" i="8" s="1"/>
  <c r="R378" i="8" s="1"/>
  <c r="R379" i="8" s="1"/>
  <c r="R380" i="8" s="1"/>
  <c r="R381" i="8" s="1"/>
  <c r="R382" i="8" s="1"/>
  <c r="R383" i="8" s="1"/>
  <c r="R384" i="8" s="1"/>
  <c r="R385" i="8" s="1"/>
  <c r="R386" i="8" s="1"/>
  <c r="R387" i="8" s="1"/>
  <c r="R388" i="8" s="1"/>
  <c r="R389" i="8" s="1"/>
  <c r="R390" i="8" s="1"/>
  <c r="R391" i="8" s="1"/>
  <c r="R392" i="8" s="1"/>
  <c r="R393" i="8" s="1"/>
  <c r="R394" i="8" s="1"/>
  <c r="R395" i="8" s="1"/>
  <c r="R396" i="8" s="1"/>
  <c r="R397" i="8" s="1"/>
  <c r="R266" i="8"/>
  <c r="R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65" i="8"/>
  <c r="H7" i="8"/>
  <c r="N291" i="8"/>
  <c r="N292" i="8"/>
  <c r="N293" i="8"/>
  <c r="N294" i="8"/>
  <c r="N295" i="8" s="1"/>
  <c r="N296" i="8" s="1"/>
  <c r="N276" i="8"/>
  <c r="N277" i="8"/>
  <c r="N278" i="8" s="1"/>
  <c r="N279" i="8" s="1"/>
  <c r="N280" i="8" s="1"/>
  <c r="N281" i="8" s="1"/>
  <c r="N282" i="8" s="1"/>
  <c r="N283" i="8" s="1"/>
  <c r="N284" i="8" s="1"/>
  <c r="N285" i="8" s="1"/>
  <c r="N286" i="8" s="1"/>
  <c r="N287" i="8" s="1"/>
  <c r="N288" i="8" s="1"/>
  <c r="N289" i="8" s="1"/>
  <c r="N290" i="8" s="1"/>
  <c r="N267" i="8"/>
  <c r="N268" i="8"/>
  <c r="N269" i="8" s="1"/>
  <c r="N270" i="8" s="1"/>
  <c r="N271" i="8" s="1"/>
  <c r="N272" i="8" s="1"/>
  <c r="N273" i="8" s="1"/>
  <c r="N274" i="8" s="1"/>
  <c r="N275" i="8" s="1"/>
  <c r="N266" i="8"/>
  <c r="N265" i="8"/>
  <c r="C16" i="1"/>
  <c r="D16" i="1"/>
  <c r="E15" i="1"/>
  <c r="E14" i="1"/>
  <c r="E13" i="1"/>
  <c r="E12" i="1"/>
  <c r="I69" i="1"/>
  <c r="I57" i="1"/>
  <c r="I45" i="1"/>
  <c r="I33" i="1"/>
  <c r="O277" i="8" a="1"/>
  <c r="O288" i="8" a="1"/>
  <c r="O285" i="8" a="1"/>
  <c r="O282" i="8" a="1"/>
  <c r="O275" i="8" a="1"/>
  <c r="O266" i="8" a="1"/>
  <c r="O296" i="8" a="1"/>
  <c r="O278" i="8" a="1"/>
  <c r="O281" i="8" a="1"/>
  <c r="O274" i="8" a="1"/>
  <c r="O270" i="8" a="1"/>
  <c r="O271" i="8" a="1"/>
  <c r="O280" i="8" a="1"/>
  <c r="O289" i="8" a="1"/>
  <c r="O295" i="8" a="1"/>
  <c r="O273" i="8" a="1"/>
  <c r="O292" i="8" a="1"/>
  <c r="O267" i="8" a="1"/>
  <c r="O294" i="8" a="1"/>
  <c r="O276" i="8" a="1"/>
  <c r="O290" i="8" a="1"/>
  <c r="O272" i="8" a="1"/>
  <c r="O283" i="8" a="1"/>
  <c r="O293" i="8" a="1"/>
  <c r="O279" i="8" a="1"/>
  <c r="O286" i="8" a="1"/>
  <c r="O291" i="8" a="1"/>
  <c r="O265" i="8" a="1"/>
  <c r="O269" i="8" a="1"/>
  <c r="O287" i="8" a="1"/>
  <c r="O284" i="8" a="1"/>
  <c r="O268" i="8" a="1"/>
  <c r="O295" i="8" l="1"/>
  <c r="O293" i="8"/>
  <c r="O292" i="8"/>
  <c r="O280" i="8"/>
  <c r="O286" i="8"/>
  <c r="O282" i="8"/>
  <c r="O287" i="8"/>
  <c r="O279" i="8"/>
  <c r="O281" i="8"/>
  <c r="O294" i="8"/>
  <c r="O291" i="8"/>
  <c r="O296" i="8"/>
  <c r="O290" i="8"/>
  <c r="O284" i="8"/>
  <c r="O278" i="8"/>
  <c r="O288" i="8"/>
  <c r="O285" i="8"/>
  <c r="O289" i="8"/>
  <c r="O283" i="8"/>
  <c r="O277" i="8"/>
  <c r="O273" i="8"/>
  <c r="O271" i="8"/>
  <c r="O272" i="8"/>
  <c r="O276" i="8"/>
  <c r="O275" i="8"/>
  <c r="O269" i="8"/>
  <c r="O267" i="8"/>
  <c r="O270" i="8"/>
  <c r="O274" i="8"/>
  <c r="O268" i="8"/>
  <c r="O266" i="8"/>
  <c r="O265" i="8"/>
  <c r="E16" i="1"/>
  <c r="I5" i="8"/>
  <c r="B35" i="10"/>
  <c r="I20" i="10"/>
  <c r="A13" i="10"/>
  <c r="E14" i="10" s="1"/>
  <c r="F14" i="10" s="1"/>
  <c r="C12" i="10"/>
  <c r="C13" i="10" s="1"/>
  <c r="B12" i="10"/>
  <c r="B13" i="10" s="1"/>
  <c r="E13" i="10" l="1"/>
  <c r="E28" i="1" l="1"/>
  <c r="I625" i="8" l="1"/>
  <c r="H625" i="8"/>
  <c r="E625" i="8"/>
  <c r="B625" i="8"/>
  <c r="I624" i="8"/>
  <c r="H624" i="8"/>
  <c r="E624" i="8"/>
  <c r="B624" i="8"/>
  <c r="I623" i="8"/>
  <c r="H623" i="8"/>
  <c r="E623" i="8"/>
  <c r="B623" i="8"/>
  <c r="I622" i="8"/>
  <c r="H622" i="8"/>
  <c r="E622" i="8"/>
  <c r="B622" i="8"/>
  <c r="I621" i="8"/>
  <c r="H621" i="8"/>
  <c r="E621" i="8"/>
  <c r="B621" i="8"/>
  <c r="I620" i="8"/>
  <c r="H620" i="8"/>
  <c r="E620" i="8"/>
  <c r="B620" i="8"/>
  <c r="I619" i="8"/>
  <c r="H619" i="8"/>
  <c r="E619" i="8"/>
  <c r="B619" i="8"/>
  <c r="I618" i="8"/>
  <c r="H618" i="8"/>
  <c r="E618" i="8"/>
  <c r="B618" i="8"/>
  <c r="I617" i="8"/>
  <c r="H617" i="8"/>
  <c r="E617" i="8"/>
  <c r="B617" i="8"/>
  <c r="I616" i="8"/>
  <c r="H616" i="8"/>
  <c r="E616" i="8"/>
  <c r="B616" i="8"/>
  <c r="I615" i="8"/>
  <c r="H615" i="8"/>
  <c r="E615" i="8"/>
  <c r="B615" i="8"/>
  <c r="I614" i="8"/>
  <c r="H614" i="8"/>
  <c r="E614" i="8"/>
  <c r="B614" i="8"/>
  <c r="I613" i="8"/>
  <c r="H613" i="8"/>
  <c r="E613" i="8"/>
  <c r="B613" i="8"/>
  <c r="I612" i="8"/>
  <c r="H612" i="8"/>
  <c r="E612" i="8"/>
  <c r="B612" i="8"/>
  <c r="I611" i="8"/>
  <c r="H611" i="8"/>
  <c r="E611" i="8"/>
  <c r="B611" i="8"/>
  <c r="I610" i="8"/>
  <c r="H610" i="8"/>
  <c r="E610" i="8"/>
  <c r="B610" i="8"/>
  <c r="I609" i="8"/>
  <c r="H609" i="8"/>
  <c r="E609" i="8"/>
  <c r="B609" i="8"/>
  <c r="I608" i="8"/>
  <c r="H608" i="8"/>
  <c r="E608" i="8"/>
  <c r="B608" i="8"/>
  <c r="I607" i="8"/>
  <c r="H607" i="8"/>
  <c r="E607" i="8"/>
  <c r="B607" i="8"/>
  <c r="I606" i="8"/>
  <c r="H606" i="8"/>
  <c r="E606" i="8"/>
  <c r="B606" i="8"/>
  <c r="I605" i="8"/>
  <c r="H605" i="8"/>
  <c r="E605" i="8"/>
  <c r="B605" i="8"/>
  <c r="I604" i="8"/>
  <c r="H604" i="8"/>
  <c r="E604" i="8"/>
  <c r="B604" i="8"/>
  <c r="I603" i="8"/>
  <c r="H603" i="8"/>
  <c r="E603" i="8"/>
  <c r="B603" i="8"/>
  <c r="I602" i="8"/>
  <c r="H602" i="8"/>
  <c r="E602" i="8"/>
  <c r="B602" i="8"/>
  <c r="I601" i="8"/>
  <c r="H601" i="8"/>
  <c r="E601" i="8"/>
  <c r="B601" i="8"/>
  <c r="I600" i="8"/>
  <c r="H600" i="8"/>
  <c r="E600" i="8"/>
  <c r="B600" i="8"/>
  <c r="I599" i="8"/>
  <c r="H599" i="8"/>
  <c r="E599" i="8"/>
  <c r="B599" i="8"/>
  <c r="I598" i="8"/>
  <c r="H598" i="8"/>
  <c r="E598" i="8"/>
  <c r="B598" i="8"/>
  <c r="I597" i="8"/>
  <c r="H597" i="8"/>
  <c r="E597" i="8"/>
  <c r="B597" i="8"/>
  <c r="I596" i="8"/>
  <c r="H596" i="8"/>
  <c r="E596" i="8"/>
  <c r="B596" i="8"/>
  <c r="I595" i="8"/>
  <c r="H595" i="8"/>
  <c r="E595" i="8"/>
  <c r="B595" i="8"/>
  <c r="I594" i="8"/>
  <c r="H594" i="8"/>
  <c r="E594" i="8"/>
  <c r="B594" i="8"/>
  <c r="I593" i="8"/>
  <c r="H593" i="8"/>
  <c r="E593" i="8"/>
  <c r="B593" i="8"/>
  <c r="I592" i="8"/>
  <c r="H592" i="8"/>
  <c r="E592" i="8"/>
  <c r="B592" i="8"/>
  <c r="I591" i="8"/>
  <c r="H591" i="8"/>
  <c r="E591" i="8"/>
  <c r="B591" i="8"/>
  <c r="I590" i="8"/>
  <c r="H590" i="8"/>
  <c r="E590" i="8"/>
  <c r="B590" i="8"/>
  <c r="I589" i="8"/>
  <c r="H589" i="8"/>
  <c r="E589" i="8"/>
  <c r="B589" i="8"/>
  <c r="I588" i="8"/>
  <c r="H588" i="8"/>
  <c r="E588" i="8"/>
  <c r="B588" i="8"/>
  <c r="I587" i="8"/>
  <c r="H587" i="8"/>
  <c r="E587" i="8"/>
  <c r="B587" i="8"/>
  <c r="I586" i="8"/>
  <c r="H586" i="8"/>
  <c r="E586" i="8"/>
  <c r="B586" i="8"/>
  <c r="I585" i="8"/>
  <c r="H585" i="8"/>
  <c r="E585" i="8"/>
  <c r="B585" i="8"/>
  <c r="I584" i="8"/>
  <c r="H584" i="8"/>
  <c r="E584" i="8"/>
  <c r="B584" i="8"/>
  <c r="I583" i="8"/>
  <c r="H583" i="8"/>
  <c r="E583" i="8"/>
  <c r="B583" i="8"/>
  <c r="I582" i="8"/>
  <c r="H582" i="8"/>
  <c r="E582" i="8"/>
  <c r="B582" i="8"/>
  <c r="I581" i="8"/>
  <c r="H581" i="8"/>
  <c r="E581" i="8"/>
  <c r="B581" i="8"/>
  <c r="I580" i="8"/>
  <c r="H580" i="8"/>
  <c r="E580" i="8"/>
  <c r="B580" i="8"/>
  <c r="I579" i="8"/>
  <c r="H579" i="8"/>
  <c r="E579" i="8"/>
  <c r="B579" i="8"/>
  <c r="I578" i="8"/>
  <c r="H578" i="8"/>
  <c r="E578" i="8"/>
  <c r="B578" i="8"/>
  <c r="I577" i="8"/>
  <c r="H577" i="8"/>
  <c r="E577" i="8"/>
  <c r="B577" i="8"/>
  <c r="I576" i="8"/>
  <c r="H576" i="8"/>
  <c r="E576" i="8"/>
  <c r="B576" i="8"/>
  <c r="I575" i="8"/>
  <c r="H575" i="8"/>
  <c r="E575" i="8"/>
  <c r="B575" i="8"/>
  <c r="I574" i="8"/>
  <c r="H574" i="8"/>
  <c r="E574" i="8"/>
  <c r="B574" i="8"/>
  <c r="I573" i="8"/>
  <c r="H573" i="8"/>
  <c r="E573" i="8"/>
  <c r="B573" i="8"/>
  <c r="I572" i="8"/>
  <c r="H572" i="8"/>
  <c r="E572" i="8"/>
  <c r="B572" i="8"/>
  <c r="I571" i="8"/>
  <c r="H571" i="8"/>
  <c r="E571" i="8"/>
  <c r="B571" i="8"/>
  <c r="I570" i="8"/>
  <c r="H570" i="8"/>
  <c r="E570" i="8"/>
  <c r="B570" i="8"/>
  <c r="I569" i="8"/>
  <c r="H569" i="8"/>
  <c r="E569" i="8"/>
  <c r="B569" i="8"/>
  <c r="I568" i="8"/>
  <c r="H568" i="8"/>
  <c r="E568" i="8"/>
  <c r="B568" i="8"/>
  <c r="I567" i="8"/>
  <c r="H567" i="8"/>
  <c r="E567" i="8"/>
  <c r="B567" i="8"/>
  <c r="I566" i="8"/>
  <c r="H566" i="8"/>
  <c r="E566" i="8"/>
  <c r="B566" i="8"/>
  <c r="I565" i="8"/>
  <c r="H565" i="8"/>
  <c r="E565" i="8"/>
  <c r="B565" i="8"/>
  <c r="I564" i="8"/>
  <c r="H564" i="8"/>
  <c r="E564" i="8"/>
  <c r="B564" i="8"/>
  <c r="I563" i="8"/>
  <c r="H563" i="8"/>
  <c r="E563" i="8"/>
  <c r="B563" i="8"/>
  <c r="I562" i="8"/>
  <c r="H562" i="8"/>
  <c r="E562" i="8"/>
  <c r="B562" i="8"/>
  <c r="I561" i="8"/>
  <c r="H561" i="8"/>
  <c r="E561" i="8"/>
  <c r="B561" i="8"/>
  <c r="I560" i="8"/>
  <c r="H560" i="8"/>
  <c r="E560" i="8"/>
  <c r="B560" i="8"/>
  <c r="I559" i="8"/>
  <c r="H559" i="8"/>
  <c r="E559" i="8"/>
  <c r="B559" i="8"/>
  <c r="I558" i="8"/>
  <c r="H558" i="8"/>
  <c r="E558" i="8"/>
  <c r="B558" i="8"/>
  <c r="I557" i="8"/>
  <c r="H557" i="8"/>
  <c r="E557" i="8"/>
  <c r="B557" i="8"/>
  <c r="I556" i="8"/>
  <c r="H556" i="8"/>
  <c r="E556" i="8"/>
  <c r="B556" i="8"/>
  <c r="I555" i="8"/>
  <c r="H555" i="8"/>
  <c r="E555" i="8"/>
  <c r="B555" i="8"/>
  <c r="I554" i="8"/>
  <c r="H554" i="8"/>
  <c r="E554" i="8"/>
  <c r="B554" i="8"/>
  <c r="I553" i="8"/>
  <c r="H553" i="8"/>
  <c r="E553" i="8"/>
  <c r="B553" i="8"/>
  <c r="I552" i="8"/>
  <c r="H552" i="8"/>
  <c r="E552" i="8"/>
  <c r="B552" i="8"/>
  <c r="I551" i="8"/>
  <c r="H551" i="8"/>
  <c r="E551" i="8"/>
  <c r="B551" i="8"/>
  <c r="I550" i="8"/>
  <c r="H550" i="8"/>
  <c r="E550" i="8"/>
  <c r="B550" i="8"/>
  <c r="I549" i="8"/>
  <c r="H549" i="8"/>
  <c r="E549" i="8"/>
  <c r="B549" i="8"/>
  <c r="I548" i="8"/>
  <c r="H548" i="8"/>
  <c r="E548" i="8"/>
  <c r="B548" i="8"/>
  <c r="I547" i="8"/>
  <c r="H547" i="8"/>
  <c r="E547" i="8"/>
  <c r="B547" i="8"/>
  <c r="I546" i="8"/>
  <c r="H546" i="8"/>
  <c r="E546" i="8"/>
  <c r="B546" i="8"/>
  <c r="I545" i="8"/>
  <c r="H545" i="8"/>
  <c r="E545" i="8"/>
  <c r="B545" i="8"/>
  <c r="I544" i="8"/>
  <c r="H544" i="8"/>
  <c r="E544" i="8"/>
  <c r="B544" i="8"/>
  <c r="I543" i="8"/>
  <c r="H543" i="8"/>
  <c r="E543" i="8"/>
  <c r="B543" i="8"/>
  <c r="I542" i="8"/>
  <c r="H542" i="8"/>
  <c r="E542" i="8"/>
  <c r="B542" i="8"/>
  <c r="I541" i="8"/>
  <c r="H541" i="8"/>
  <c r="E541" i="8"/>
  <c r="B541" i="8"/>
  <c r="I540" i="8"/>
  <c r="H540" i="8"/>
  <c r="E540" i="8"/>
  <c r="B540" i="8"/>
  <c r="I539" i="8"/>
  <c r="H539" i="8"/>
  <c r="E539" i="8"/>
  <c r="B539" i="8"/>
  <c r="I538" i="8"/>
  <c r="H538" i="8"/>
  <c r="E538" i="8"/>
  <c r="B538" i="8"/>
  <c r="I537" i="8"/>
  <c r="H537" i="8"/>
  <c r="E537" i="8"/>
  <c r="B537" i="8"/>
  <c r="I536" i="8"/>
  <c r="H536" i="8"/>
  <c r="E536" i="8"/>
  <c r="B536" i="8"/>
  <c r="I535" i="8"/>
  <c r="H535" i="8"/>
  <c r="E535" i="8"/>
  <c r="B535" i="8"/>
  <c r="I534" i="8"/>
  <c r="H534" i="8"/>
  <c r="E534" i="8"/>
  <c r="B534" i="8"/>
  <c r="I533" i="8"/>
  <c r="H533" i="8"/>
  <c r="E533" i="8"/>
  <c r="B533" i="8"/>
  <c r="I532" i="8"/>
  <c r="H532" i="8"/>
  <c r="E532" i="8"/>
  <c r="B532" i="8"/>
  <c r="I531" i="8"/>
  <c r="H531" i="8"/>
  <c r="E531" i="8"/>
  <c r="B531" i="8"/>
  <c r="I530" i="8"/>
  <c r="H530" i="8"/>
  <c r="E530" i="8"/>
  <c r="B530" i="8"/>
  <c r="I529" i="8"/>
  <c r="H529" i="8"/>
  <c r="E529" i="8"/>
  <c r="B529" i="8"/>
  <c r="I528" i="8"/>
  <c r="H528" i="8"/>
  <c r="E528" i="8"/>
  <c r="B528" i="8"/>
  <c r="I527" i="8"/>
  <c r="H527" i="8"/>
  <c r="E527" i="8"/>
  <c r="B527" i="8"/>
  <c r="I526" i="8"/>
  <c r="H526" i="8"/>
  <c r="E526" i="8"/>
  <c r="B526" i="8"/>
  <c r="I525" i="8"/>
  <c r="H525" i="8"/>
  <c r="E525" i="8"/>
  <c r="B525" i="8"/>
  <c r="I524" i="8"/>
  <c r="H524" i="8"/>
  <c r="E524" i="8"/>
  <c r="B524" i="8"/>
  <c r="I523" i="8"/>
  <c r="H523" i="8"/>
  <c r="E523" i="8"/>
  <c r="B523" i="8"/>
  <c r="I522" i="8"/>
  <c r="H522" i="8"/>
  <c r="E522" i="8"/>
  <c r="B522" i="8"/>
  <c r="I521" i="8"/>
  <c r="H521" i="8"/>
  <c r="E521" i="8"/>
  <c r="B521" i="8"/>
  <c r="I520" i="8"/>
  <c r="H520" i="8"/>
  <c r="E520" i="8"/>
  <c r="B520" i="8"/>
  <c r="I519" i="8"/>
  <c r="H519" i="8"/>
  <c r="E519" i="8"/>
  <c r="B519" i="8"/>
  <c r="I518" i="8"/>
  <c r="H518" i="8"/>
  <c r="E518" i="8"/>
  <c r="B518" i="8"/>
  <c r="I517" i="8"/>
  <c r="H517" i="8"/>
  <c r="E517" i="8"/>
  <c r="B517" i="8"/>
  <c r="I516" i="8"/>
  <c r="H516" i="8"/>
  <c r="E516" i="8"/>
  <c r="B516" i="8"/>
  <c r="I515" i="8"/>
  <c r="H515" i="8"/>
  <c r="E515" i="8"/>
  <c r="B515" i="8"/>
  <c r="I514" i="8"/>
  <c r="H514" i="8"/>
  <c r="E514" i="8"/>
  <c r="B514" i="8"/>
  <c r="I513" i="8"/>
  <c r="H513" i="8"/>
  <c r="E513" i="8"/>
  <c r="B513" i="8"/>
  <c r="I512" i="8"/>
  <c r="H512" i="8"/>
  <c r="E512" i="8"/>
  <c r="B512" i="8"/>
  <c r="I511" i="8"/>
  <c r="H511" i="8"/>
  <c r="E511" i="8"/>
  <c r="B511" i="8"/>
  <c r="I510" i="8"/>
  <c r="H510" i="8"/>
  <c r="E510" i="8"/>
  <c r="B510" i="8"/>
  <c r="I509" i="8"/>
  <c r="H509" i="8"/>
  <c r="E509" i="8"/>
  <c r="B509" i="8"/>
  <c r="I508" i="8"/>
  <c r="H508" i="8"/>
  <c r="E508" i="8"/>
  <c r="B508" i="8"/>
  <c r="I507" i="8"/>
  <c r="H507" i="8"/>
  <c r="E507" i="8"/>
  <c r="B507" i="8"/>
  <c r="I506" i="8"/>
  <c r="H506" i="8"/>
  <c r="E506" i="8"/>
  <c r="B506" i="8"/>
  <c r="I505" i="8"/>
  <c r="H505" i="8"/>
  <c r="E505" i="8"/>
  <c r="B505" i="8"/>
  <c r="I504" i="8"/>
  <c r="H504" i="8"/>
  <c r="E504" i="8"/>
  <c r="B504" i="8"/>
  <c r="I503" i="8"/>
  <c r="H503" i="8"/>
  <c r="E503" i="8"/>
  <c r="B503" i="8"/>
  <c r="I502" i="8"/>
  <c r="H502" i="8"/>
  <c r="E502" i="8"/>
  <c r="B502" i="8"/>
  <c r="I501" i="8"/>
  <c r="H501" i="8"/>
  <c r="E501" i="8"/>
  <c r="M8" i="8" s="1"/>
  <c r="B501" i="8"/>
  <c r="I500" i="8"/>
  <c r="H500" i="8"/>
  <c r="E500" i="8"/>
  <c r="B500" i="8"/>
  <c r="I499" i="8"/>
  <c r="H499" i="8"/>
  <c r="E499" i="8"/>
  <c r="B499" i="8"/>
  <c r="I498" i="8"/>
  <c r="H498" i="8"/>
  <c r="E498" i="8"/>
  <c r="B498" i="8"/>
  <c r="I497" i="8"/>
  <c r="H497" i="8"/>
  <c r="E497" i="8"/>
  <c r="B497" i="8"/>
  <c r="I496" i="8"/>
  <c r="H496" i="8"/>
  <c r="E496" i="8"/>
  <c r="B496" i="8"/>
  <c r="I495" i="8"/>
  <c r="H495" i="8"/>
  <c r="E495" i="8"/>
  <c r="B495" i="8"/>
  <c r="I494" i="8"/>
  <c r="H494" i="8"/>
  <c r="E494" i="8"/>
  <c r="B494" i="8"/>
  <c r="I493" i="8"/>
  <c r="H493" i="8"/>
  <c r="E493" i="8"/>
  <c r="B493" i="8"/>
  <c r="I492" i="8"/>
  <c r="H492" i="8"/>
  <c r="E492" i="8"/>
  <c r="B492" i="8"/>
  <c r="I491" i="8"/>
  <c r="H491" i="8"/>
  <c r="E491" i="8"/>
  <c r="B491" i="8"/>
  <c r="I490" i="8"/>
  <c r="H490" i="8"/>
  <c r="E490" i="8"/>
  <c r="B490" i="8"/>
  <c r="I489" i="8"/>
  <c r="H489" i="8"/>
  <c r="E489" i="8"/>
  <c r="B489" i="8"/>
  <c r="I488" i="8"/>
  <c r="H488" i="8"/>
  <c r="E488" i="8"/>
  <c r="B488" i="8"/>
  <c r="I487" i="8"/>
  <c r="H487" i="8"/>
  <c r="E487" i="8"/>
  <c r="B487" i="8"/>
  <c r="I486" i="8"/>
  <c r="H486" i="8"/>
  <c r="E486" i="8"/>
  <c r="B486" i="8"/>
  <c r="I485" i="8"/>
  <c r="H485" i="8"/>
  <c r="E485" i="8"/>
  <c r="B485" i="8"/>
  <c r="I484" i="8"/>
  <c r="H484" i="8"/>
  <c r="E484" i="8"/>
  <c r="B484" i="8"/>
  <c r="I483" i="8"/>
  <c r="H483" i="8"/>
  <c r="E483" i="8"/>
  <c r="B483" i="8"/>
  <c r="I482" i="8"/>
  <c r="H482" i="8"/>
  <c r="E482" i="8"/>
  <c r="B482" i="8"/>
  <c r="I481" i="8"/>
  <c r="H481" i="8"/>
  <c r="E481" i="8"/>
  <c r="B481" i="8"/>
  <c r="I480" i="8"/>
  <c r="H480" i="8"/>
  <c r="E480" i="8"/>
  <c r="B480" i="8"/>
  <c r="I479" i="8"/>
  <c r="H479" i="8"/>
  <c r="E479" i="8"/>
  <c r="B479" i="8"/>
  <c r="I478" i="8"/>
  <c r="H478" i="8"/>
  <c r="E478" i="8"/>
  <c r="B478" i="8"/>
  <c r="I477" i="8"/>
  <c r="H477" i="8"/>
  <c r="E477" i="8"/>
  <c r="B477" i="8"/>
  <c r="I476" i="8"/>
  <c r="H476" i="8"/>
  <c r="E476" i="8"/>
  <c r="B476" i="8"/>
  <c r="I475" i="8"/>
  <c r="H475" i="8"/>
  <c r="E475" i="8"/>
  <c r="B475" i="8"/>
  <c r="I474" i="8"/>
  <c r="H474" i="8"/>
  <c r="E474" i="8"/>
  <c r="B474" i="8"/>
  <c r="I473" i="8"/>
  <c r="H473" i="8"/>
  <c r="E473" i="8"/>
  <c r="B473" i="8"/>
  <c r="I472" i="8"/>
  <c r="H472" i="8"/>
  <c r="E472" i="8"/>
  <c r="B472" i="8"/>
  <c r="I471" i="8"/>
  <c r="H471" i="8"/>
  <c r="E471" i="8"/>
  <c r="B471" i="8"/>
  <c r="I470" i="8"/>
  <c r="H470" i="8"/>
  <c r="E470" i="8"/>
  <c r="B470" i="8"/>
  <c r="I469" i="8"/>
  <c r="H469" i="8"/>
  <c r="E469" i="8"/>
  <c r="B469" i="8"/>
  <c r="I468" i="8"/>
  <c r="H468" i="8"/>
  <c r="E468" i="8"/>
  <c r="B468" i="8"/>
  <c r="I467" i="8"/>
  <c r="H467" i="8"/>
  <c r="E467" i="8"/>
  <c r="B467" i="8"/>
  <c r="I466" i="8"/>
  <c r="H466" i="8"/>
  <c r="E466" i="8"/>
  <c r="B466" i="8"/>
  <c r="I465" i="8"/>
  <c r="H465" i="8"/>
  <c r="E465" i="8"/>
  <c r="B465" i="8"/>
  <c r="I464" i="8"/>
  <c r="H464" i="8"/>
  <c r="E464" i="8"/>
  <c r="B464" i="8"/>
  <c r="I463" i="8"/>
  <c r="H463" i="8"/>
  <c r="E463" i="8"/>
  <c r="B463" i="8"/>
  <c r="I462" i="8"/>
  <c r="H462" i="8"/>
  <c r="E462" i="8"/>
  <c r="B462" i="8"/>
  <c r="I461" i="8"/>
  <c r="H461" i="8"/>
  <c r="E461" i="8"/>
  <c r="B461" i="8"/>
  <c r="I460" i="8"/>
  <c r="H460" i="8"/>
  <c r="E460" i="8"/>
  <c r="B460" i="8"/>
  <c r="I459" i="8"/>
  <c r="H459" i="8"/>
  <c r="E459" i="8"/>
  <c r="B459" i="8"/>
  <c r="I458" i="8"/>
  <c r="H458" i="8"/>
  <c r="E458" i="8"/>
  <c r="B458" i="8"/>
  <c r="I457" i="8"/>
  <c r="H457" i="8"/>
  <c r="E457" i="8"/>
  <c r="B457" i="8"/>
  <c r="I456" i="8"/>
  <c r="H456" i="8"/>
  <c r="E456" i="8"/>
  <c r="B456" i="8"/>
  <c r="I455" i="8"/>
  <c r="H455" i="8"/>
  <c r="E455" i="8"/>
  <c r="B455" i="8"/>
  <c r="I454" i="8"/>
  <c r="H454" i="8"/>
  <c r="E454" i="8"/>
  <c r="B454" i="8"/>
  <c r="I453" i="8"/>
  <c r="H453" i="8"/>
  <c r="E453" i="8"/>
  <c r="B453" i="8"/>
  <c r="I452" i="8"/>
  <c r="H452" i="8"/>
  <c r="E452" i="8"/>
  <c r="B452" i="8"/>
  <c r="I451" i="8"/>
  <c r="H451" i="8"/>
  <c r="E451" i="8"/>
  <c r="B451" i="8"/>
  <c r="I450" i="8"/>
  <c r="H450" i="8"/>
  <c r="E450" i="8"/>
  <c r="B450" i="8"/>
  <c r="I449" i="8"/>
  <c r="H449" i="8"/>
  <c r="E449" i="8"/>
  <c r="B449" i="8"/>
  <c r="I448" i="8"/>
  <c r="H448" i="8"/>
  <c r="E448" i="8"/>
  <c r="B448" i="8"/>
  <c r="I447" i="8"/>
  <c r="H447" i="8"/>
  <c r="E447" i="8"/>
  <c r="B447" i="8"/>
  <c r="I446" i="8"/>
  <c r="H446" i="8"/>
  <c r="E446" i="8"/>
  <c r="B446" i="8"/>
  <c r="I445" i="8"/>
  <c r="H445" i="8"/>
  <c r="E445" i="8"/>
  <c r="B445" i="8"/>
  <c r="I444" i="8"/>
  <c r="H444" i="8"/>
  <c r="E444" i="8"/>
  <c r="B444" i="8"/>
  <c r="I443" i="8"/>
  <c r="H443" i="8"/>
  <c r="E443" i="8"/>
  <c r="B443" i="8"/>
  <c r="I442" i="8"/>
  <c r="H442" i="8"/>
  <c r="E442" i="8"/>
  <c r="B442" i="8"/>
  <c r="I441" i="8"/>
  <c r="H441" i="8"/>
  <c r="E441" i="8"/>
  <c r="B441" i="8"/>
  <c r="I440" i="8"/>
  <c r="H440" i="8"/>
  <c r="E440" i="8"/>
  <c r="B440" i="8"/>
  <c r="I439" i="8"/>
  <c r="H439" i="8"/>
  <c r="E439" i="8"/>
  <c r="B439" i="8"/>
  <c r="I438" i="8"/>
  <c r="H438" i="8"/>
  <c r="E438" i="8"/>
  <c r="B438" i="8"/>
  <c r="I437" i="8"/>
  <c r="H437" i="8"/>
  <c r="E437" i="8"/>
  <c r="B437" i="8"/>
  <c r="I436" i="8"/>
  <c r="H436" i="8"/>
  <c r="E436" i="8"/>
  <c r="B436" i="8"/>
  <c r="I435" i="8"/>
  <c r="H435" i="8"/>
  <c r="E435" i="8"/>
  <c r="B435" i="8"/>
  <c r="I434" i="8"/>
  <c r="H434" i="8"/>
  <c r="E434" i="8"/>
  <c r="B434" i="8"/>
  <c r="I433" i="8"/>
  <c r="H433" i="8"/>
  <c r="E433" i="8"/>
  <c r="B433" i="8"/>
  <c r="I432" i="8"/>
  <c r="H432" i="8"/>
  <c r="E432" i="8"/>
  <c r="B432" i="8"/>
  <c r="I431" i="8"/>
  <c r="H431" i="8"/>
  <c r="E431" i="8"/>
  <c r="B431" i="8"/>
  <c r="I430" i="8"/>
  <c r="H430" i="8"/>
  <c r="E430" i="8"/>
  <c r="B430" i="8"/>
  <c r="I429" i="8"/>
  <c r="H429" i="8"/>
  <c r="E429" i="8"/>
  <c r="B429" i="8"/>
  <c r="I428" i="8"/>
  <c r="H428" i="8"/>
  <c r="E428" i="8"/>
  <c r="B428" i="8"/>
  <c r="I427" i="8"/>
  <c r="H427" i="8"/>
  <c r="E427" i="8"/>
  <c r="B427" i="8"/>
  <c r="I426" i="8"/>
  <c r="H426" i="8"/>
  <c r="E426" i="8"/>
  <c r="B426" i="8"/>
  <c r="I425" i="8"/>
  <c r="H425" i="8"/>
  <c r="E425" i="8"/>
  <c r="B425" i="8"/>
  <c r="I424" i="8"/>
  <c r="H424" i="8"/>
  <c r="E424" i="8"/>
  <c r="B424" i="8"/>
  <c r="I423" i="8"/>
  <c r="H423" i="8"/>
  <c r="E423" i="8"/>
  <c r="B423" i="8"/>
  <c r="I422" i="8"/>
  <c r="H422" i="8"/>
  <c r="E422" i="8"/>
  <c r="B422" i="8"/>
  <c r="I421" i="8"/>
  <c r="H421" i="8"/>
  <c r="E421" i="8"/>
  <c r="B421" i="8"/>
  <c r="I420" i="8"/>
  <c r="H420" i="8"/>
  <c r="E420" i="8"/>
  <c r="B420" i="8"/>
  <c r="I419" i="8"/>
  <c r="H419" i="8"/>
  <c r="E419" i="8"/>
  <c r="B419" i="8"/>
  <c r="I418" i="8"/>
  <c r="H418" i="8"/>
  <c r="E418" i="8"/>
  <c r="B418" i="8"/>
  <c r="I417" i="8"/>
  <c r="H417" i="8"/>
  <c r="E417" i="8"/>
  <c r="B417" i="8"/>
  <c r="I416" i="8"/>
  <c r="H416" i="8"/>
  <c r="E416" i="8"/>
  <c r="B416" i="8"/>
  <c r="I415" i="8"/>
  <c r="H415" i="8"/>
  <c r="E415" i="8"/>
  <c r="B415" i="8"/>
  <c r="I414" i="8"/>
  <c r="H414" i="8"/>
  <c r="E414" i="8"/>
  <c r="B414" i="8"/>
  <c r="I413" i="8"/>
  <c r="H413" i="8"/>
  <c r="E413" i="8"/>
  <c r="B413" i="8"/>
  <c r="I412" i="8"/>
  <c r="H412" i="8"/>
  <c r="E412" i="8"/>
  <c r="B412" i="8"/>
  <c r="I411" i="8"/>
  <c r="H411" i="8"/>
  <c r="E411" i="8"/>
  <c r="B411" i="8"/>
  <c r="I410" i="8"/>
  <c r="H410" i="8"/>
  <c r="E410" i="8"/>
  <c r="B410" i="8"/>
  <c r="I409" i="8"/>
  <c r="H409" i="8"/>
  <c r="E409" i="8"/>
  <c r="B409" i="8"/>
  <c r="I408" i="8"/>
  <c r="H408" i="8"/>
  <c r="E408" i="8"/>
  <c r="B408" i="8"/>
  <c r="I407" i="8"/>
  <c r="H407" i="8"/>
  <c r="E407" i="8"/>
  <c r="B407" i="8"/>
  <c r="I406" i="8"/>
  <c r="H406" i="8"/>
  <c r="E406" i="8"/>
  <c r="B406" i="8"/>
  <c r="I405" i="8"/>
  <c r="H405" i="8"/>
  <c r="E405" i="8"/>
  <c r="B405" i="8"/>
  <c r="I404" i="8"/>
  <c r="H404" i="8"/>
  <c r="E404" i="8"/>
  <c r="B404" i="8"/>
  <c r="I403" i="8"/>
  <c r="H403" i="8"/>
  <c r="E403" i="8"/>
  <c r="B403" i="8"/>
  <c r="I402" i="8"/>
  <c r="H402" i="8"/>
  <c r="E402" i="8"/>
  <c r="B402" i="8"/>
  <c r="I401" i="8"/>
  <c r="H401" i="8"/>
  <c r="E401" i="8"/>
  <c r="B401" i="8"/>
  <c r="I400" i="8"/>
  <c r="H400" i="8"/>
  <c r="E400" i="8"/>
  <c r="B400" i="8"/>
  <c r="I399" i="8"/>
  <c r="H399" i="8"/>
  <c r="E399" i="8"/>
  <c r="B399" i="8"/>
  <c r="I398" i="8"/>
  <c r="H398" i="8"/>
  <c r="E398" i="8"/>
  <c r="B398" i="8"/>
  <c r="I397" i="8"/>
  <c r="H397" i="8"/>
  <c r="E397" i="8"/>
  <c r="B397" i="8"/>
  <c r="I396" i="8"/>
  <c r="H396" i="8"/>
  <c r="E396" i="8"/>
  <c r="B396" i="8"/>
  <c r="I395" i="8"/>
  <c r="H395" i="8"/>
  <c r="E395" i="8"/>
  <c r="B395" i="8"/>
  <c r="I394" i="8"/>
  <c r="H394" i="8"/>
  <c r="E394" i="8"/>
  <c r="B394" i="8"/>
  <c r="I393" i="8"/>
  <c r="H393" i="8"/>
  <c r="E393" i="8"/>
  <c r="B393" i="8"/>
  <c r="I392" i="8"/>
  <c r="H392" i="8"/>
  <c r="E392" i="8"/>
  <c r="B392" i="8"/>
  <c r="I391" i="8"/>
  <c r="H391" i="8"/>
  <c r="E391" i="8"/>
  <c r="B391" i="8"/>
  <c r="I390" i="8"/>
  <c r="H390" i="8"/>
  <c r="E390" i="8"/>
  <c r="B390" i="8"/>
  <c r="I389" i="8"/>
  <c r="H389" i="8"/>
  <c r="E389" i="8"/>
  <c r="B389" i="8"/>
  <c r="I388" i="8"/>
  <c r="H388" i="8"/>
  <c r="E388" i="8"/>
  <c r="B388" i="8"/>
  <c r="I387" i="8"/>
  <c r="H387" i="8"/>
  <c r="E387" i="8"/>
  <c r="B387" i="8"/>
  <c r="I386" i="8"/>
  <c r="H386" i="8"/>
  <c r="E386" i="8"/>
  <c r="B386" i="8"/>
  <c r="I385" i="8"/>
  <c r="H385" i="8"/>
  <c r="E385" i="8"/>
  <c r="B385" i="8"/>
  <c r="I384" i="8"/>
  <c r="H384" i="8"/>
  <c r="E384" i="8"/>
  <c r="B384" i="8"/>
  <c r="I383" i="8"/>
  <c r="H383" i="8"/>
  <c r="E383" i="8"/>
  <c r="B383" i="8"/>
  <c r="I382" i="8"/>
  <c r="H382" i="8"/>
  <c r="E382" i="8"/>
  <c r="B382" i="8"/>
  <c r="I381" i="8"/>
  <c r="H381" i="8"/>
  <c r="E381" i="8"/>
  <c r="B381" i="8"/>
  <c r="I380" i="8"/>
  <c r="H380" i="8"/>
  <c r="E380" i="8"/>
  <c r="B380" i="8"/>
  <c r="I379" i="8"/>
  <c r="H379" i="8"/>
  <c r="E379" i="8"/>
  <c r="B379" i="8"/>
  <c r="I378" i="8"/>
  <c r="H378" i="8"/>
  <c r="E378" i="8"/>
  <c r="B378" i="8"/>
  <c r="I377" i="8"/>
  <c r="H377" i="8"/>
  <c r="E377" i="8"/>
  <c r="B377" i="8"/>
  <c r="I376" i="8"/>
  <c r="H376" i="8"/>
  <c r="E376" i="8"/>
  <c r="B376" i="8"/>
  <c r="I375" i="8"/>
  <c r="H375" i="8"/>
  <c r="E375" i="8"/>
  <c r="B375" i="8"/>
  <c r="I374" i="8"/>
  <c r="H374" i="8"/>
  <c r="E374" i="8"/>
  <c r="B374" i="8"/>
  <c r="I373" i="8"/>
  <c r="H373" i="8"/>
  <c r="E373" i="8"/>
  <c r="B373" i="8"/>
  <c r="I372" i="8"/>
  <c r="H372" i="8"/>
  <c r="E372" i="8"/>
  <c r="B372" i="8"/>
  <c r="I371" i="8"/>
  <c r="H371" i="8"/>
  <c r="E371" i="8"/>
  <c r="B371" i="8"/>
  <c r="I370" i="8"/>
  <c r="H370" i="8"/>
  <c r="E370" i="8"/>
  <c r="B370" i="8"/>
  <c r="I369" i="8"/>
  <c r="H369" i="8"/>
  <c r="E369" i="8"/>
  <c r="B369" i="8"/>
  <c r="I368" i="8"/>
  <c r="H368" i="8"/>
  <c r="E368" i="8"/>
  <c r="B368" i="8"/>
  <c r="I367" i="8"/>
  <c r="H367" i="8"/>
  <c r="E367" i="8"/>
  <c r="B367" i="8"/>
  <c r="I366" i="8"/>
  <c r="H366" i="8"/>
  <c r="E366" i="8"/>
  <c r="B366" i="8"/>
  <c r="I365" i="8"/>
  <c r="H365" i="8"/>
  <c r="E365" i="8"/>
  <c r="B365" i="8"/>
  <c r="I364" i="8"/>
  <c r="H364" i="8"/>
  <c r="E364" i="8"/>
  <c r="B364" i="8"/>
  <c r="I363" i="8"/>
  <c r="H363" i="8"/>
  <c r="E363" i="8"/>
  <c r="B363" i="8"/>
  <c r="I362" i="8"/>
  <c r="H362" i="8"/>
  <c r="E362" i="8"/>
  <c r="B362" i="8"/>
  <c r="I361" i="8"/>
  <c r="H361" i="8"/>
  <c r="E361" i="8"/>
  <c r="B361" i="8"/>
  <c r="I360" i="8"/>
  <c r="H360" i="8"/>
  <c r="E360" i="8"/>
  <c r="B360" i="8"/>
  <c r="I359" i="8"/>
  <c r="H359" i="8"/>
  <c r="E359" i="8"/>
  <c r="B359" i="8"/>
  <c r="I358" i="8"/>
  <c r="H358" i="8"/>
  <c r="E358" i="8"/>
  <c r="B358" i="8"/>
  <c r="I357" i="8"/>
  <c r="H357" i="8"/>
  <c r="E357" i="8"/>
  <c r="B357" i="8"/>
  <c r="I356" i="8"/>
  <c r="H356" i="8"/>
  <c r="E356" i="8"/>
  <c r="B356" i="8"/>
  <c r="I355" i="8"/>
  <c r="H355" i="8"/>
  <c r="E355" i="8"/>
  <c r="B355" i="8"/>
  <c r="I354" i="8"/>
  <c r="H354" i="8"/>
  <c r="E354" i="8"/>
  <c r="B354" i="8"/>
  <c r="I353" i="8"/>
  <c r="H353" i="8"/>
  <c r="E353" i="8"/>
  <c r="B353" i="8"/>
  <c r="I352" i="8"/>
  <c r="H352" i="8"/>
  <c r="E352" i="8"/>
  <c r="B352" i="8"/>
  <c r="I351" i="8"/>
  <c r="H351" i="8"/>
  <c r="E351" i="8"/>
  <c r="B351" i="8"/>
  <c r="I350" i="8"/>
  <c r="H350" i="8"/>
  <c r="E350" i="8"/>
  <c r="B350" i="8"/>
  <c r="I349" i="8"/>
  <c r="H349" i="8"/>
  <c r="E349" i="8"/>
  <c r="B349" i="8"/>
  <c r="I348" i="8"/>
  <c r="H348" i="8"/>
  <c r="E348" i="8"/>
  <c r="B348" i="8"/>
  <c r="I347" i="8"/>
  <c r="H347" i="8"/>
  <c r="E347" i="8"/>
  <c r="B347" i="8"/>
  <c r="I346" i="8"/>
  <c r="H346" i="8"/>
  <c r="E346" i="8"/>
  <c r="B346" i="8"/>
  <c r="I345" i="8"/>
  <c r="H345" i="8"/>
  <c r="E345" i="8"/>
  <c r="B345" i="8"/>
  <c r="I344" i="8"/>
  <c r="H344" i="8"/>
  <c r="E344" i="8"/>
  <c r="B344" i="8"/>
  <c r="I343" i="8"/>
  <c r="H343" i="8"/>
  <c r="E343" i="8"/>
  <c r="B343" i="8"/>
  <c r="I342" i="8"/>
  <c r="H342" i="8"/>
  <c r="E342" i="8"/>
  <c r="B342" i="8"/>
  <c r="I341" i="8"/>
  <c r="H341" i="8"/>
  <c r="E341" i="8"/>
  <c r="B341" i="8"/>
  <c r="I340" i="8"/>
  <c r="H340" i="8"/>
  <c r="E340" i="8"/>
  <c r="B340" i="8"/>
  <c r="I339" i="8"/>
  <c r="H339" i="8"/>
  <c r="E339" i="8"/>
  <c r="B339" i="8"/>
  <c r="I338" i="8"/>
  <c r="H338" i="8"/>
  <c r="E338" i="8"/>
  <c r="B338" i="8"/>
  <c r="I337" i="8"/>
  <c r="H337" i="8"/>
  <c r="E337" i="8"/>
  <c r="B337" i="8"/>
  <c r="I336" i="8"/>
  <c r="H336" i="8"/>
  <c r="E336" i="8"/>
  <c r="B336" i="8"/>
  <c r="I335" i="8"/>
  <c r="H335" i="8"/>
  <c r="E335" i="8"/>
  <c r="B335" i="8"/>
  <c r="I334" i="8"/>
  <c r="H334" i="8"/>
  <c r="E334" i="8"/>
  <c r="B334" i="8"/>
  <c r="I333" i="8"/>
  <c r="H333" i="8"/>
  <c r="E333" i="8"/>
  <c r="B333" i="8"/>
  <c r="I332" i="8"/>
  <c r="H332" i="8"/>
  <c r="E332" i="8"/>
  <c r="B332" i="8"/>
  <c r="I331" i="8"/>
  <c r="H331" i="8"/>
  <c r="E331" i="8"/>
  <c r="B331" i="8"/>
  <c r="I330" i="8"/>
  <c r="H330" i="8"/>
  <c r="E330" i="8"/>
  <c r="B330" i="8"/>
  <c r="I329" i="8"/>
  <c r="H329" i="8"/>
  <c r="E329" i="8"/>
  <c r="B329" i="8"/>
  <c r="I328" i="8"/>
  <c r="H328" i="8"/>
  <c r="E328" i="8"/>
  <c r="B328" i="8"/>
  <c r="I327" i="8"/>
  <c r="H327" i="8"/>
  <c r="E327" i="8"/>
  <c r="B327" i="8"/>
  <c r="I326" i="8"/>
  <c r="H326" i="8"/>
  <c r="E326" i="8"/>
  <c r="B326" i="8"/>
  <c r="I325" i="8"/>
  <c r="H325" i="8"/>
  <c r="E325" i="8"/>
  <c r="B325" i="8"/>
  <c r="I324" i="8"/>
  <c r="H324" i="8"/>
  <c r="E324" i="8"/>
  <c r="B324" i="8"/>
  <c r="I323" i="8"/>
  <c r="H323" i="8"/>
  <c r="E323" i="8"/>
  <c r="B323" i="8"/>
  <c r="I322" i="8"/>
  <c r="H322" i="8"/>
  <c r="E322" i="8"/>
  <c r="B322" i="8"/>
  <c r="I321" i="8"/>
  <c r="H321" i="8"/>
  <c r="E321" i="8"/>
  <c r="B321" i="8"/>
  <c r="I320" i="8"/>
  <c r="H320" i="8"/>
  <c r="E320" i="8"/>
  <c r="B320" i="8"/>
  <c r="I319" i="8"/>
  <c r="H319" i="8"/>
  <c r="E319" i="8"/>
  <c r="B319" i="8"/>
  <c r="I318" i="8"/>
  <c r="H318" i="8"/>
  <c r="E318" i="8"/>
  <c r="B318" i="8"/>
  <c r="I317" i="8"/>
  <c r="H317" i="8"/>
  <c r="E317" i="8"/>
  <c r="B317" i="8"/>
  <c r="I316" i="8"/>
  <c r="H316" i="8"/>
  <c r="E316" i="8"/>
  <c r="B316" i="8"/>
  <c r="I315" i="8"/>
  <c r="H315" i="8"/>
  <c r="E315" i="8"/>
  <c r="B315" i="8"/>
  <c r="I314" i="8"/>
  <c r="H314" i="8"/>
  <c r="E314" i="8"/>
  <c r="B314" i="8"/>
  <c r="I313" i="8"/>
  <c r="H313" i="8"/>
  <c r="E313" i="8"/>
  <c r="B313" i="8"/>
  <c r="I312" i="8"/>
  <c r="H312" i="8"/>
  <c r="E312" i="8"/>
  <c r="B312" i="8"/>
  <c r="I311" i="8"/>
  <c r="H311" i="8"/>
  <c r="E311" i="8"/>
  <c r="B311" i="8"/>
  <c r="I310" i="8"/>
  <c r="H310" i="8"/>
  <c r="E310" i="8"/>
  <c r="B310" i="8"/>
  <c r="I309" i="8"/>
  <c r="H309" i="8"/>
  <c r="E309" i="8"/>
  <c r="B309" i="8"/>
  <c r="I308" i="8"/>
  <c r="H308" i="8"/>
  <c r="E308" i="8"/>
  <c r="B308" i="8"/>
  <c r="I307" i="8"/>
  <c r="H307" i="8"/>
  <c r="E307" i="8"/>
  <c r="B307" i="8"/>
  <c r="I306" i="8"/>
  <c r="H306" i="8"/>
  <c r="E306" i="8"/>
  <c r="B306" i="8"/>
  <c r="I305" i="8"/>
  <c r="H305" i="8"/>
  <c r="E305" i="8"/>
  <c r="B305" i="8"/>
  <c r="I304" i="8"/>
  <c r="H304" i="8"/>
  <c r="E304" i="8"/>
  <c r="B304" i="8"/>
  <c r="I303" i="8"/>
  <c r="H303" i="8"/>
  <c r="E303" i="8"/>
  <c r="B303" i="8"/>
  <c r="I302" i="8"/>
  <c r="H302" i="8"/>
  <c r="E302" i="8"/>
  <c r="B302" i="8"/>
  <c r="I301" i="8"/>
  <c r="H301" i="8"/>
  <c r="E301" i="8"/>
  <c r="B301" i="8"/>
  <c r="I300" i="8"/>
  <c r="H300" i="8"/>
  <c r="E300" i="8"/>
  <c r="B300" i="8"/>
  <c r="I299" i="8"/>
  <c r="H299" i="8"/>
  <c r="E299" i="8"/>
  <c r="B299" i="8"/>
  <c r="I298" i="8"/>
  <c r="H298" i="8"/>
  <c r="E298" i="8"/>
  <c r="B298" i="8"/>
  <c r="I297" i="8"/>
  <c r="H297" i="8"/>
  <c r="E297" i="8"/>
  <c r="B297" i="8"/>
  <c r="I296" i="8"/>
  <c r="H296" i="8"/>
  <c r="E296" i="8"/>
  <c r="B296" i="8"/>
  <c r="I295" i="8"/>
  <c r="H295" i="8"/>
  <c r="E295" i="8"/>
  <c r="B295" i="8"/>
  <c r="I294" i="8"/>
  <c r="H294" i="8"/>
  <c r="E294" i="8"/>
  <c r="B294" i="8"/>
  <c r="I293" i="8"/>
  <c r="H293" i="8"/>
  <c r="E293" i="8"/>
  <c r="B293" i="8"/>
  <c r="I292" i="8"/>
  <c r="H292" i="8"/>
  <c r="E292" i="8"/>
  <c r="B292" i="8"/>
  <c r="I291" i="8"/>
  <c r="H291" i="8"/>
  <c r="E291" i="8"/>
  <c r="B291" i="8"/>
  <c r="I290" i="8"/>
  <c r="H290" i="8"/>
  <c r="E290" i="8"/>
  <c r="B290" i="8"/>
  <c r="I289" i="8"/>
  <c r="H289" i="8"/>
  <c r="E289" i="8"/>
  <c r="B289" i="8"/>
  <c r="I288" i="8"/>
  <c r="H288" i="8"/>
  <c r="E288" i="8"/>
  <c r="B288" i="8"/>
  <c r="I287" i="8"/>
  <c r="H287" i="8"/>
  <c r="E287" i="8"/>
  <c r="B287" i="8"/>
  <c r="I286" i="8"/>
  <c r="H286" i="8"/>
  <c r="E286" i="8"/>
  <c r="B286" i="8"/>
  <c r="I285" i="8"/>
  <c r="H285" i="8"/>
  <c r="E285" i="8"/>
  <c r="B285" i="8"/>
  <c r="I284" i="8"/>
  <c r="H284" i="8"/>
  <c r="E284" i="8"/>
  <c r="B284" i="8"/>
  <c r="I283" i="8"/>
  <c r="H283" i="8"/>
  <c r="E283" i="8"/>
  <c r="B283" i="8"/>
  <c r="I282" i="8"/>
  <c r="H282" i="8"/>
  <c r="E282" i="8"/>
  <c r="B282" i="8"/>
  <c r="I281" i="8"/>
  <c r="H281" i="8"/>
  <c r="E281" i="8"/>
  <c r="B281" i="8"/>
  <c r="I280" i="8"/>
  <c r="H280" i="8"/>
  <c r="E280" i="8"/>
  <c r="B280" i="8"/>
  <c r="I279" i="8"/>
  <c r="H279" i="8"/>
  <c r="E279" i="8"/>
  <c r="B279" i="8"/>
  <c r="I278" i="8"/>
  <c r="H278" i="8"/>
  <c r="E278" i="8"/>
  <c r="B278" i="8"/>
  <c r="I277" i="8"/>
  <c r="H277" i="8"/>
  <c r="E277" i="8"/>
  <c r="B277" i="8"/>
  <c r="I276" i="8"/>
  <c r="H276" i="8"/>
  <c r="E276" i="8"/>
  <c r="B276" i="8"/>
  <c r="I275" i="8"/>
  <c r="H275" i="8"/>
  <c r="E275" i="8"/>
  <c r="B275" i="8"/>
  <c r="I274" i="8"/>
  <c r="H274" i="8"/>
  <c r="E274" i="8"/>
  <c r="B274" i="8"/>
  <c r="I273" i="8"/>
  <c r="H273" i="8"/>
  <c r="E273" i="8"/>
  <c r="B273" i="8"/>
  <c r="I272" i="8"/>
  <c r="H272" i="8"/>
  <c r="E272" i="8"/>
  <c r="B272" i="8"/>
  <c r="I271" i="8"/>
  <c r="H271" i="8"/>
  <c r="E271" i="8"/>
  <c r="B271" i="8"/>
  <c r="I270" i="8"/>
  <c r="H270" i="8"/>
  <c r="E270" i="8"/>
  <c r="B270" i="8"/>
  <c r="I269" i="8"/>
  <c r="H269" i="8"/>
  <c r="E269" i="8"/>
  <c r="B269" i="8"/>
  <c r="I268" i="8"/>
  <c r="H268" i="8"/>
  <c r="E268" i="8"/>
  <c r="B268" i="8"/>
  <c r="I267" i="8"/>
  <c r="H267" i="8"/>
  <c r="E267" i="8"/>
  <c r="B267" i="8"/>
  <c r="I266" i="8"/>
  <c r="H266" i="8"/>
  <c r="E266" i="8"/>
  <c r="B266" i="8"/>
  <c r="I265" i="8"/>
  <c r="H265" i="8"/>
  <c r="E265" i="8"/>
  <c r="B265" i="8"/>
  <c r="I264" i="8"/>
  <c r="H264" i="8"/>
  <c r="E264" i="8"/>
  <c r="B264" i="8"/>
  <c r="I263" i="8"/>
  <c r="H263" i="8"/>
  <c r="E263" i="8"/>
  <c r="B263" i="8"/>
  <c r="I262" i="8"/>
  <c r="H262" i="8"/>
  <c r="E262" i="8"/>
  <c r="B262" i="8"/>
  <c r="I261" i="8"/>
  <c r="H261" i="8"/>
  <c r="E261" i="8"/>
  <c r="B261" i="8"/>
  <c r="I260" i="8"/>
  <c r="H260" i="8"/>
  <c r="E260" i="8"/>
  <c r="B260" i="8"/>
  <c r="I259" i="8"/>
  <c r="H259" i="8"/>
  <c r="E259" i="8"/>
  <c r="B259" i="8"/>
  <c r="I258" i="8"/>
  <c r="H258" i="8"/>
  <c r="E258" i="8"/>
  <c r="B258" i="8"/>
  <c r="I257" i="8"/>
  <c r="H257" i="8"/>
  <c r="E257" i="8"/>
  <c r="B257" i="8"/>
  <c r="I256" i="8"/>
  <c r="H256" i="8"/>
  <c r="E256" i="8"/>
  <c r="B256" i="8"/>
  <c r="I255" i="8"/>
  <c r="H255" i="8"/>
  <c r="E255" i="8"/>
  <c r="B255" i="8"/>
  <c r="I254" i="8"/>
  <c r="H254" i="8"/>
  <c r="E254" i="8"/>
  <c r="B254" i="8"/>
  <c r="I253" i="8"/>
  <c r="H253" i="8"/>
  <c r="E253" i="8"/>
  <c r="B253" i="8"/>
  <c r="I252" i="8"/>
  <c r="H252" i="8"/>
  <c r="E252" i="8"/>
  <c r="B252" i="8"/>
  <c r="I251" i="8"/>
  <c r="H251" i="8"/>
  <c r="E251" i="8"/>
  <c r="B251" i="8"/>
  <c r="I250" i="8"/>
  <c r="H250" i="8"/>
  <c r="E250" i="8"/>
  <c r="B250" i="8"/>
  <c r="I249" i="8"/>
  <c r="H249" i="8"/>
  <c r="E249" i="8"/>
  <c r="B249" i="8"/>
  <c r="I248" i="8"/>
  <c r="H248" i="8"/>
  <c r="E248" i="8"/>
  <c r="B248" i="8"/>
  <c r="I247" i="8"/>
  <c r="H247" i="8"/>
  <c r="E247" i="8"/>
  <c r="B247" i="8"/>
  <c r="I246" i="8"/>
  <c r="H246" i="8"/>
  <c r="E246" i="8"/>
  <c r="B246" i="8"/>
  <c r="I245" i="8"/>
  <c r="H245" i="8"/>
  <c r="E245" i="8"/>
  <c r="B245" i="8"/>
  <c r="I244" i="8"/>
  <c r="H244" i="8"/>
  <c r="E244" i="8"/>
  <c r="B244" i="8"/>
  <c r="I243" i="8"/>
  <c r="H243" i="8"/>
  <c r="E243" i="8"/>
  <c r="B243" i="8"/>
  <c r="I242" i="8"/>
  <c r="H242" i="8"/>
  <c r="E242" i="8"/>
  <c r="B242" i="8"/>
  <c r="I241" i="8"/>
  <c r="H241" i="8"/>
  <c r="E241" i="8"/>
  <c r="B241" i="8"/>
  <c r="I240" i="8"/>
  <c r="H240" i="8"/>
  <c r="E240" i="8"/>
  <c r="B240" i="8"/>
  <c r="I239" i="8"/>
  <c r="H239" i="8"/>
  <c r="E239" i="8"/>
  <c r="B239" i="8"/>
  <c r="I238" i="8"/>
  <c r="H238" i="8"/>
  <c r="E238" i="8"/>
  <c r="B238" i="8"/>
  <c r="I237" i="8"/>
  <c r="H237" i="8"/>
  <c r="E237" i="8"/>
  <c r="B237" i="8"/>
  <c r="I236" i="8"/>
  <c r="H236" i="8"/>
  <c r="E236" i="8"/>
  <c r="B236" i="8"/>
  <c r="I235" i="8"/>
  <c r="H235" i="8"/>
  <c r="E235" i="8"/>
  <c r="B235" i="8"/>
  <c r="I234" i="8"/>
  <c r="H234" i="8"/>
  <c r="E234" i="8"/>
  <c r="B234" i="8"/>
  <c r="I233" i="8"/>
  <c r="H233" i="8"/>
  <c r="E233" i="8"/>
  <c r="B233" i="8"/>
  <c r="I232" i="8"/>
  <c r="H232" i="8"/>
  <c r="E232" i="8"/>
  <c r="B232" i="8"/>
  <c r="I231" i="8"/>
  <c r="H231" i="8"/>
  <c r="E231" i="8"/>
  <c r="B231" i="8"/>
  <c r="I230" i="8"/>
  <c r="H230" i="8"/>
  <c r="E230" i="8"/>
  <c r="B230" i="8"/>
  <c r="I229" i="8"/>
  <c r="H229" i="8"/>
  <c r="E229" i="8"/>
  <c r="B229" i="8"/>
  <c r="I228" i="8"/>
  <c r="H228" i="8"/>
  <c r="E228" i="8"/>
  <c r="B228" i="8"/>
  <c r="I227" i="8"/>
  <c r="H227" i="8"/>
  <c r="E227" i="8"/>
  <c r="B227" i="8"/>
  <c r="I226" i="8"/>
  <c r="H226" i="8"/>
  <c r="E226" i="8"/>
  <c r="B226" i="8"/>
  <c r="I225" i="8"/>
  <c r="H225" i="8"/>
  <c r="E225" i="8"/>
  <c r="B225" i="8"/>
  <c r="I224" i="8"/>
  <c r="H224" i="8"/>
  <c r="E224" i="8"/>
  <c r="B224" i="8"/>
  <c r="I223" i="8"/>
  <c r="H223" i="8"/>
  <c r="E223" i="8"/>
  <c r="B223" i="8"/>
  <c r="I222" i="8"/>
  <c r="H222" i="8"/>
  <c r="E222" i="8"/>
  <c r="B222" i="8"/>
  <c r="I221" i="8"/>
  <c r="H221" i="8"/>
  <c r="E221" i="8"/>
  <c r="B221" i="8"/>
  <c r="I220" i="8"/>
  <c r="H220" i="8"/>
  <c r="E220" i="8"/>
  <c r="B220" i="8"/>
  <c r="I219" i="8"/>
  <c r="H219" i="8"/>
  <c r="E219" i="8"/>
  <c r="B219" i="8"/>
  <c r="I218" i="8"/>
  <c r="H218" i="8"/>
  <c r="E218" i="8"/>
  <c r="B218" i="8"/>
  <c r="I217" i="8"/>
  <c r="H217" i="8"/>
  <c r="E217" i="8"/>
  <c r="B217" i="8"/>
  <c r="I216" i="8"/>
  <c r="H216" i="8"/>
  <c r="E216" i="8"/>
  <c r="B216" i="8"/>
  <c r="I215" i="8"/>
  <c r="H215" i="8"/>
  <c r="E215" i="8"/>
  <c r="B215" i="8"/>
  <c r="I214" i="8"/>
  <c r="H214" i="8"/>
  <c r="E214" i="8"/>
  <c r="B214" i="8"/>
  <c r="I213" i="8"/>
  <c r="H213" i="8"/>
  <c r="E213" i="8"/>
  <c r="B213" i="8"/>
  <c r="I212" i="8"/>
  <c r="H212" i="8"/>
  <c r="E212" i="8"/>
  <c r="B212" i="8"/>
  <c r="I211" i="8"/>
  <c r="H211" i="8"/>
  <c r="E211" i="8"/>
  <c r="B211" i="8"/>
  <c r="I210" i="8"/>
  <c r="H210" i="8"/>
  <c r="E210" i="8"/>
  <c r="B210" i="8"/>
  <c r="I209" i="8"/>
  <c r="H209" i="8"/>
  <c r="E209" i="8"/>
  <c r="B209" i="8"/>
  <c r="I208" i="8"/>
  <c r="H208" i="8"/>
  <c r="E208" i="8"/>
  <c r="B208" i="8"/>
  <c r="I207" i="8"/>
  <c r="H207" i="8"/>
  <c r="E207" i="8"/>
  <c r="B207" i="8"/>
  <c r="I206" i="8"/>
  <c r="H206" i="8"/>
  <c r="E206" i="8"/>
  <c r="B206" i="8"/>
  <c r="I205" i="8"/>
  <c r="H205" i="8"/>
  <c r="E205" i="8"/>
  <c r="B205" i="8"/>
  <c r="I204" i="8"/>
  <c r="H204" i="8"/>
  <c r="E204" i="8"/>
  <c r="B204" i="8"/>
  <c r="I203" i="8"/>
  <c r="H203" i="8"/>
  <c r="E203" i="8"/>
  <c r="B203" i="8"/>
  <c r="I202" i="8"/>
  <c r="H202" i="8"/>
  <c r="E202" i="8"/>
  <c r="B202" i="8"/>
  <c r="I201" i="8"/>
  <c r="H201" i="8"/>
  <c r="E201" i="8"/>
  <c r="B201" i="8"/>
  <c r="I200" i="8"/>
  <c r="H200" i="8"/>
  <c r="E200" i="8"/>
  <c r="B200" i="8"/>
  <c r="I199" i="8"/>
  <c r="H199" i="8"/>
  <c r="E199" i="8"/>
  <c r="B199" i="8"/>
  <c r="I198" i="8"/>
  <c r="H198" i="8"/>
  <c r="E198" i="8"/>
  <c r="B198" i="8"/>
  <c r="I197" i="8"/>
  <c r="H197" i="8"/>
  <c r="E197" i="8"/>
  <c r="B197" i="8"/>
  <c r="I196" i="8"/>
  <c r="H196" i="8"/>
  <c r="E196" i="8"/>
  <c r="B196" i="8"/>
  <c r="I195" i="8"/>
  <c r="H195" i="8"/>
  <c r="E195" i="8"/>
  <c r="B195" i="8"/>
  <c r="I194" i="8"/>
  <c r="H194" i="8"/>
  <c r="E194" i="8"/>
  <c r="B194" i="8"/>
  <c r="I193" i="8"/>
  <c r="H193" i="8"/>
  <c r="E193" i="8"/>
  <c r="B193" i="8"/>
  <c r="I192" i="8"/>
  <c r="H192" i="8"/>
  <c r="E192" i="8"/>
  <c r="B192" i="8"/>
  <c r="I191" i="8"/>
  <c r="H191" i="8"/>
  <c r="E191" i="8"/>
  <c r="B191" i="8"/>
  <c r="I190" i="8"/>
  <c r="H190" i="8"/>
  <c r="E190" i="8"/>
  <c r="B190" i="8"/>
  <c r="I189" i="8"/>
  <c r="H189" i="8"/>
  <c r="E189" i="8"/>
  <c r="B189" i="8"/>
  <c r="I188" i="8"/>
  <c r="H188" i="8"/>
  <c r="E188" i="8"/>
  <c r="B188" i="8"/>
  <c r="I187" i="8"/>
  <c r="H187" i="8"/>
  <c r="E187" i="8"/>
  <c r="B187" i="8"/>
  <c r="I186" i="8"/>
  <c r="H186" i="8"/>
  <c r="E186" i="8"/>
  <c r="B186" i="8"/>
  <c r="I185" i="8"/>
  <c r="H185" i="8"/>
  <c r="E185" i="8"/>
  <c r="B185" i="8"/>
  <c r="I184" i="8"/>
  <c r="H184" i="8"/>
  <c r="E184" i="8"/>
  <c r="B184" i="8"/>
  <c r="I183" i="8"/>
  <c r="H183" i="8"/>
  <c r="E183" i="8"/>
  <c r="B183" i="8"/>
  <c r="I182" i="8"/>
  <c r="H182" i="8"/>
  <c r="E182" i="8"/>
  <c r="B182" i="8"/>
  <c r="I181" i="8"/>
  <c r="H181" i="8"/>
  <c r="E181" i="8"/>
  <c r="B181" i="8"/>
  <c r="I180" i="8"/>
  <c r="H180" i="8"/>
  <c r="E180" i="8"/>
  <c r="B180" i="8"/>
  <c r="I179" i="8"/>
  <c r="H179" i="8"/>
  <c r="E179" i="8"/>
  <c r="B179" i="8"/>
  <c r="I178" i="8"/>
  <c r="H178" i="8"/>
  <c r="E178" i="8"/>
  <c r="B178" i="8"/>
  <c r="I177" i="8"/>
  <c r="H177" i="8"/>
  <c r="E177" i="8"/>
  <c r="B177" i="8"/>
  <c r="I176" i="8"/>
  <c r="H176" i="8"/>
  <c r="E176" i="8"/>
  <c r="B176" i="8"/>
  <c r="I175" i="8"/>
  <c r="H175" i="8"/>
  <c r="E175" i="8"/>
  <c r="B175" i="8"/>
  <c r="I174" i="8"/>
  <c r="H174" i="8"/>
  <c r="E174" i="8"/>
  <c r="B174" i="8"/>
  <c r="I173" i="8"/>
  <c r="H173" i="8"/>
  <c r="E173" i="8"/>
  <c r="B173" i="8"/>
  <c r="I172" i="8"/>
  <c r="H172" i="8"/>
  <c r="E172" i="8"/>
  <c r="B172" i="8"/>
  <c r="I171" i="8"/>
  <c r="H171" i="8"/>
  <c r="E171" i="8"/>
  <c r="B171" i="8"/>
  <c r="I170" i="8"/>
  <c r="H170" i="8"/>
  <c r="E170" i="8"/>
  <c r="B170" i="8"/>
  <c r="I169" i="8"/>
  <c r="H169" i="8"/>
  <c r="E169" i="8"/>
  <c r="B169" i="8"/>
  <c r="I168" i="8"/>
  <c r="H168" i="8"/>
  <c r="E168" i="8"/>
  <c r="B168" i="8"/>
  <c r="I167" i="8"/>
  <c r="H167" i="8"/>
  <c r="E167" i="8"/>
  <c r="B167" i="8"/>
  <c r="I166" i="8"/>
  <c r="H166" i="8"/>
  <c r="E166" i="8"/>
  <c r="B166" i="8"/>
  <c r="I165" i="8"/>
  <c r="H165" i="8"/>
  <c r="E165" i="8"/>
  <c r="B165" i="8"/>
  <c r="I164" i="8"/>
  <c r="H164" i="8"/>
  <c r="E164" i="8"/>
  <c r="B164" i="8"/>
  <c r="I163" i="8"/>
  <c r="H163" i="8"/>
  <c r="E163" i="8"/>
  <c r="B163" i="8"/>
  <c r="I162" i="8"/>
  <c r="H162" i="8"/>
  <c r="E162" i="8"/>
  <c r="B162" i="8"/>
  <c r="I161" i="8"/>
  <c r="H161" i="8"/>
  <c r="E161" i="8"/>
  <c r="B161" i="8"/>
  <c r="I160" i="8"/>
  <c r="H160" i="8"/>
  <c r="E160" i="8"/>
  <c r="B160" i="8"/>
  <c r="I159" i="8"/>
  <c r="H159" i="8"/>
  <c r="E159" i="8"/>
  <c r="B159" i="8"/>
  <c r="I158" i="8"/>
  <c r="H158" i="8"/>
  <c r="E158" i="8"/>
  <c r="B158" i="8"/>
  <c r="I157" i="8"/>
  <c r="H157" i="8"/>
  <c r="E157" i="8"/>
  <c r="B157" i="8"/>
  <c r="I156" i="8"/>
  <c r="H156" i="8"/>
  <c r="E156" i="8"/>
  <c r="B156" i="8"/>
  <c r="I155" i="8"/>
  <c r="H155" i="8"/>
  <c r="E155" i="8"/>
  <c r="B155" i="8"/>
  <c r="I154" i="8"/>
  <c r="H154" i="8"/>
  <c r="E154" i="8"/>
  <c r="B154" i="8"/>
  <c r="I153" i="8"/>
  <c r="H153" i="8"/>
  <c r="E153" i="8"/>
  <c r="B153" i="8"/>
  <c r="I152" i="8"/>
  <c r="H152" i="8"/>
  <c r="E152" i="8"/>
  <c r="B152" i="8"/>
  <c r="I151" i="8"/>
  <c r="H151" i="8"/>
  <c r="E151" i="8"/>
  <c r="B151" i="8"/>
  <c r="I150" i="8"/>
  <c r="H150" i="8"/>
  <c r="E150" i="8"/>
  <c r="B150" i="8"/>
  <c r="I149" i="8"/>
  <c r="H149" i="8"/>
  <c r="E149" i="8"/>
  <c r="B149" i="8"/>
  <c r="I148" i="8"/>
  <c r="H148" i="8"/>
  <c r="E148" i="8"/>
  <c r="B148" i="8"/>
  <c r="I147" i="8"/>
  <c r="H147" i="8"/>
  <c r="E147" i="8"/>
  <c r="B147" i="8"/>
  <c r="I146" i="8"/>
  <c r="H146" i="8"/>
  <c r="E146" i="8"/>
  <c r="B146" i="8"/>
  <c r="I145" i="8"/>
  <c r="H145" i="8"/>
  <c r="E145" i="8"/>
  <c r="B145" i="8"/>
  <c r="I144" i="8"/>
  <c r="H144" i="8"/>
  <c r="E144" i="8"/>
  <c r="B144" i="8"/>
  <c r="I143" i="8"/>
  <c r="H143" i="8"/>
  <c r="E143" i="8"/>
  <c r="B143" i="8"/>
  <c r="I142" i="8"/>
  <c r="H142" i="8"/>
  <c r="E142" i="8"/>
  <c r="B142" i="8"/>
  <c r="I141" i="8"/>
  <c r="H141" i="8"/>
  <c r="E141" i="8"/>
  <c r="B141" i="8"/>
  <c r="I140" i="8"/>
  <c r="H140" i="8"/>
  <c r="E140" i="8"/>
  <c r="B140" i="8"/>
  <c r="I139" i="8"/>
  <c r="H139" i="8"/>
  <c r="E139" i="8"/>
  <c r="B139" i="8"/>
  <c r="I138" i="8"/>
  <c r="H138" i="8"/>
  <c r="E138" i="8"/>
  <c r="B138" i="8"/>
  <c r="I137" i="8"/>
  <c r="H137" i="8"/>
  <c r="E137" i="8"/>
  <c r="B137" i="8"/>
  <c r="I136" i="8"/>
  <c r="H136" i="8"/>
  <c r="E136" i="8"/>
  <c r="B136" i="8"/>
  <c r="I135" i="8"/>
  <c r="H135" i="8"/>
  <c r="E135" i="8"/>
  <c r="B135" i="8"/>
  <c r="I134" i="8"/>
  <c r="H134" i="8"/>
  <c r="E134" i="8"/>
  <c r="B134" i="8"/>
  <c r="I133" i="8"/>
  <c r="H133" i="8"/>
  <c r="E133" i="8"/>
  <c r="B133" i="8"/>
  <c r="I132" i="8"/>
  <c r="H132" i="8"/>
  <c r="E132" i="8"/>
  <c r="B132" i="8"/>
  <c r="I131" i="8"/>
  <c r="H131" i="8"/>
  <c r="E131" i="8"/>
  <c r="B131" i="8"/>
  <c r="I130" i="8"/>
  <c r="H130" i="8"/>
  <c r="E130" i="8"/>
  <c r="B130" i="8"/>
  <c r="I129" i="8"/>
  <c r="H129" i="8"/>
  <c r="E129" i="8"/>
  <c r="B129" i="8"/>
  <c r="I128" i="8"/>
  <c r="H128" i="8"/>
  <c r="E128" i="8"/>
  <c r="B128" i="8"/>
  <c r="I127" i="8"/>
  <c r="H127" i="8"/>
  <c r="E127" i="8"/>
  <c r="B127" i="8"/>
  <c r="I126" i="8"/>
  <c r="H126" i="8"/>
  <c r="E126" i="8"/>
  <c r="B126" i="8"/>
  <c r="I125" i="8"/>
  <c r="H125" i="8"/>
  <c r="E125" i="8"/>
  <c r="B125" i="8"/>
  <c r="I124" i="8"/>
  <c r="H124" i="8"/>
  <c r="E124" i="8"/>
  <c r="B124" i="8"/>
  <c r="I123" i="8"/>
  <c r="H123" i="8"/>
  <c r="E123" i="8"/>
  <c r="B123" i="8"/>
  <c r="I122" i="8"/>
  <c r="H122" i="8"/>
  <c r="E122" i="8"/>
  <c r="B122" i="8"/>
  <c r="I121" i="8"/>
  <c r="H121" i="8"/>
  <c r="E121" i="8"/>
  <c r="B121" i="8"/>
  <c r="I120" i="8"/>
  <c r="H120" i="8"/>
  <c r="E120" i="8"/>
  <c r="B120" i="8"/>
  <c r="I119" i="8"/>
  <c r="H119" i="8"/>
  <c r="E119" i="8"/>
  <c r="B119" i="8"/>
  <c r="I118" i="8"/>
  <c r="H118" i="8"/>
  <c r="E118" i="8"/>
  <c r="B118" i="8"/>
  <c r="I117" i="8"/>
  <c r="H117" i="8"/>
  <c r="E117" i="8"/>
  <c r="B117" i="8"/>
  <c r="I116" i="8"/>
  <c r="H116" i="8"/>
  <c r="E116" i="8"/>
  <c r="B116" i="8"/>
  <c r="I115" i="8"/>
  <c r="H115" i="8"/>
  <c r="E115" i="8"/>
  <c r="B115" i="8"/>
  <c r="I114" i="8"/>
  <c r="H114" i="8"/>
  <c r="E114" i="8"/>
  <c r="B114" i="8"/>
  <c r="I113" i="8"/>
  <c r="H113" i="8"/>
  <c r="E113" i="8"/>
  <c r="B113" i="8"/>
  <c r="I112" i="8"/>
  <c r="H112" i="8"/>
  <c r="E112" i="8"/>
  <c r="B112" i="8"/>
  <c r="I111" i="8"/>
  <c r="H111" i="8"/>
  <c r="E111" i="8"/>
  <c r="B111" i="8"/>
  <c r="I110" i="8"/>
  <c r="H110" i="8"/>
  <c r="E110" i="8"/>
  <c r="B110" i="8"/>
  <c r="I109" i="8"/>
  <c r="H109" i="8"/>
  <c r="E109" i="8"/>
  <c r="B109" i="8"/>
  <c r="I108" i="8"/>
  <c r="H108" i="8"/>
  <c r="E108" i="8"/>
  <c r="B108" i="8"/>
  <c r="I107" i="8"/>
  <c r="H107" i="8"/>
  <c r="E107" i="8"/>
  <c r="B107" i="8"/>
  <c r="I106" i="8"/>
  <c r="H106" i="8"/>
  <c r="E106" i="8"/>
  <c r="B106" i="8"/>
  <c r="I105" i="8"/>
  <c r="H105" i="8"/>
  <c r="E105" i="8"/>
  <c r="B105" i="8"/>
  <c r="I104" i="8"/>
  <c r="H104" i="8"/>
  <c r="E104" i="8"/>
  <c r="B104" i="8"/>
  <c r="I103" i="8"/>
  <c r="H103" i="8"/>
  <c r="E103" i="8"/>
  <c r="B103" i="8"/>
  <c r="I102" i="8"/>
  <c r="H102" i="8"/>
  <c r="E102" i="8"/>
  <c r="B102" i="8"/>
  <c r="I101" i="8"/>
  <c r="H101" i="8"/>
  <c r="E101" i="8"/>
  <c r="B101" i="8"/>
  <c r="I100" i="8"/>
  <c r="H100" i="8"/>
  <c r="E100" i="8"/>
  <c r="B100" i="8"/>
  <c r="I99" i="8"/>
  <c r="H99" i="8"/>
  <c r="E99" i="8"/>
  <c r="B99" i="8"/>
  <c r="I98" i="8"/>
  <c r="H98" i="8"/>
  <c r="E98" i="8"/>
  <c r="B98" i="8"/>
  <c r="I97" i="8"/>
  <c r="H97" i="8"/>
  <c r="E97" i="8"/>
  <c r="B97" i="8"/>
  <c r="I96" i="8"/>
  <c r="H96" i="8"/>
  <c r="E96" i="8"/>
  <c r="B96" i="8"/>
  <c r="I95" i="8"/>
  <c r="H95" i="8"/>
  <c r="E95" i="8"/>
  <c r="B95" i="8"/>
  <c r="I94" i="8"/>
  <c r="H94" i="8"/>
  <c r="E94" i="8"/>
  <c r="B94" i="8"/>
  <c r="I93" i="8"/>
  <c r="H93" i="8"/>
  <c r="E93" i="8"/>
  <c r="I92" i="8"/>
  <c r="H92" i="8"/>
  <c r="E92" i="8"/>
  <c r="I91" i="8"/>
  <c r="H91" i="8"/>
  <c r="E91" i="8"/>
  <c r="I90" i="8"/>
  <c r="H90" i="8"/>
  <c r="E90" i="8"/>
  <c r="I89" i="8"/>
  <c r="H89" i="8"/>
  <c r="E89" i="8"/>
  <c r="I88" i="8"/>
  <c r="H88" i="8"/>
  <c r="E88" i="8"/>
  <c r="I87" i="8"/>
  <c r="H87" i="8"/>
  <c r="E87" i="8"/>
  <c r="I86" i="8"/>
  <c r="H86" i="8"/>
  <c r="E86" i="8"/>
  <c r="I85" i="8"/>
  <c r="H85" i="8"/>
  <c r="E85" i="8"/>
  <c r="I84" i="8"/>
  <c r="H84" i="8"/>
  <c r="E84" i="8"/>
  <c r="I83" i="8"/>
  <c r="H83" i="8"/>
  <c r="E83" i="8"/>
  <c r="I82" i="8"/>
  <c r="H82" i="8"/>
  <c r="E82" i="8"/>
  <c r="I81" i="8"/>
  <c r="H81" i="8"/>
  <c r="E81" i="8"/>
  <c r="I80" i="8"/>
  <c r="H80" i="8"/>
  <c r="E80" i="8"/>
  <c r="I79" i="8"/>
  <c r="H79" i="8"/>
  <c r="E79" i="8"/>
  <c r="I78" i="8"/>
  <c r="H78" i="8"/>
  <c r="E78" i="8"/>
  <c r="I77" i="8"/>
  <c r="H77" i="8"/>
  <c r="E77" i="8"/>
  <c r="I76" i="8"/>
  <c r="H76" i="8"/>
  <c r="E76" i="8"/>
  <c r="I75" i="8"/>
  <c r="H75" i="8"/>
  <c r="E75" i="8"/>
  <c r="I74" i="8"/>
  <c r="H74" i="8"/>
  <c r="E74" i="8"/>
  <c r="I73" i="8"/>
  <c r="H73" i="8"/>
  <c r="E73" i="8"/>
  <c r="I72" i="8"/>
  <c r="H72" i="8"/>
  <c r="E72" i="8"/>
  <c r="I71" i="8"/>
  <c r="H71" i="8"/>
  <c r="E71" i="8"/>
  <c r="I70" i="8"/>
  <c r="H70" i="8"/>
  <c r="E70" i="8"/>
  <c r="I69" i="8"/>
  <c r="H69" i="8"/>
  <c r="E69" i="8"/>
  <c r="I68" i="8"/>
  <c r="H68" i="8"/>
  <c r="E68" i="8"/>
  <c r="I67" i="8"/>
  <c r="H67" i="8"/>
  <c r="E67" i="8"/>
  <c r="I66" i="8"/>
  <c r="H66" i="8"/>
  <c r="E66" i="8"/>
  <c r="I65" i="8"/>
  <c r="H65" i="8"/>
  <c r="E65" i="8"/>
  <c r="I64" i="8"/>
  <c r="H64" i="8"/>
  <c r="E64" i="8"/>
  <c r="I63" i="8"/>
  <c r="H63" i="8"/>
  <c r="E63" i="8"/>
  <c r="I62" i="8"/>
  <c r="H62" i="8"/>
  <c r="E62" i="8"/>
  <c r="I61" i="8"/>
  <c r="H61" i="8"/>
  <c r="E61" i="8"/>
  <c r="I60" i="8"/>
  <c r="H60" i="8"/>
  <c r="E60" i="8"/>
  <c r="I59" i="8"/>
  <c r="H59" i="8"/>
  <c r="E59" i="8"/>
  <c r="I58" i="8"/>
  <c r="H58" i="8"/>
  <c r="E58" i="8"/>
  <c r="I57" i="8"/>
  <c r="H57" i="8"/>
  <c r="E57" i="8"/>
  <c r="I56" i="8"/>
  <c r="H56" i="8"/>
  <c r="E56" i="8"/>
  <c r="I55" i="8"/>
  <c r="H55" i="8"/>
  <c r="E55" i="8"/>
  <c r="I54" i="8"/>
  <c r="H54" i="8"/>
  <c r="E54" i="8"/>
  <c r="I53" i="8"/>
  <c r="H53" i="8"/>
  <c r="E53" i="8"/>
  <c r="I52" i="8"/>
  <c r="H52" i="8"/>
  <c r="E52" i="8"/>
  <c r="I51" i="8"/>
  <c r="H51" i="8"/>
  <c r="E51" i="8"/>
  <c r="I50" i="8"/>
  <c r="H50" i="8"/>
  <c r="E50" i="8"/>
  <c r="I49" i="8"/>
  <c r="H49" i="8"/>
  <c r="E49" i="8"/>
  <c r="I48" i="8"/>
  <c r="H48" i="8"/>
  <c r="E48" i="8"/>
  <c r="I47" i="8"/>
  <c r="H47" i="8"/>
  <c r="E47" i="8"/>
  <c r="I46" i="8"/>
  <c r="H46" i="8"/>
  <c r="E46" i="8"/>
  <c r="I45" i="8"/>
  <c r="H45" i="8"/>
  <c r="E45" i="8"/>
  <c r="I44" i="8"/>
  <c r="H44" i="8"/>
  <c r="E44" i="8"/>
  <c r="I43" i="8"/>
  <c r="H43" i="8"/>
  <c r="E43" i="8"/>
  <c r="I42" i="8"/>
  <c r="H42" i="8"/>
  <c r="E42" i="8"/>
  <c r="I41" i="8"/>
  <c r="H41" i="8"/>
  <c r="E41" i="8"/>
  <c r="I40" i="8"/>
  <c r="H40" i="8"/>
  <c r="E40" i="8"/>
  <c r="I39" i="8"/>
  <c r="H39" i="8"/>
  <c r="E39" i="8"/>
  <c r="I38" i="8"/>
  <c r="H38" i="8"/>
  <c r="E38" i="8"/>
  <c r="I37" i="8"/>
  <c r="H37" i="8"/>
  <c r="E37" i="8"/>
  <c r="I36" i="8"/>
  <c r="H36" i="8"/>
  <c r="E36" i="8"/>
  <c r="I35" i="8"/>
  <c r="H35" i="8"/>
  <c r="E35" i="8"/>
  <c r="I34" i="8"/>
  <c r="H34" i="8"/>
  <c r="E34" i="8"/>
  <c r="I33" i="8"/>
  <c r="H33" i="8"/>
  <c r="E33" i="8"/>
  <c r="I32" i="8"/>
  <c r="H32" i="8"/>
  <c r="E32" i="8"/>
  <c r="I31" i="8"/>
  <c r="H31" i="8"/>
  <c r="E31" i="8"/>
  <c r="I30" i="8"/>
  <c r="H30" i="8"/>
  <c r="E30" i="8"/>
  <c r="I29" i="8"/>
  <c r="H29" i="8"/>
  <c r="E29" i="8"/>
  <c r="I28" i="8"/>
  <c r="H28" i="8"/>
  <c r="E28" i="8"/>
  <c r="I27" i="8"/>
  <c r="H27" i="8"/>
  <c r="E27" i="8"/>
  <c r="I26" i="8"/>
  <c r="H26" i="8"/>
  <c r="E26" i="8"/>
  <c r="I25" i="8"/>
  <c r="H25" i="8"/>
  <c r="E25" i="8"/>
  <c r="I24" i="8"/>
  <c r="H24" i="8"/>
  <c r="E24" i="8"/>
  <c r="I23" i="8"/>
  <c r="H23" i="8"/>
  <c r="E23" i="8"/>
  <c r="I22" i="8"/>
  <c r="H22" i="8"/>
  <c r="E22" i="8"/>
  <c r="I21" i="8"/>
  <c r="H21" i="8"/>
  <c r="E21" i="8"/>
  <c r="I20" i="8"/>
  <c r="H20" i="8"/>
  <c r="E20" i="8"/>
  <c r="I19" i="8"/>
  <c r="H19" i="8"/>
  <c r="E19" i="8"/>
  <c r="I18" i="8"/>
  <c r="H18" i="8"/>
  <c r="E18" i="8"/>
  <c r="I17" i="8"/>
  <c r="H17" i="8"/>
  <c r="E17" i="8"/>
  <c r="I16" i="8"/>
  <c r="H16" i="8"/>
  <c r="E16" i="8"/>
  <c r="I15" i="8"/>
  <c r="H15" i="8"/>
  <c r="E15" i="8"/>
  <c r="I14" i="8"/>
  <c r="H14" i="8"/>
  <c r="E14" i="8"/>
  <c r="L13" i="8"/>
  <c r="I13" i="8"/>
  <c r="H13" i="8"/>
  <c r="E13" i="8"/>
  <c r="I12" i="8"/>
  <c r="H12" i="8"/>
  <c r="E12" i="8"/>
  <c r="I11" i="8"/>
  <c r="H11" i="8"/>
  <c r="E11" i="8"/>
  <c r="I10" i="8"/>
  <c r="H10" i="8"/>
  <c r="E10" i="8"/>
  <c r="I9" i="8"/>
  <c r="H9" i="8"/>
  <c r="E9" i="8"/>
  <c r="U8" i="8"/>
  <c r="I8" i="8"/>
  <c r="H8" i="8"/>
  <c r="E8" i="8"/>
  <c r="I7" i="8"/>
  <c r="E7" i="8"/>
  <c r="I6" i="8"/>
  <c r="H6" i="8"/>
  <c r="E6" i="8"/>
  <c r="H5" i="8"/>
  <c r="E5" i="8"/>
  <c r="J65" i="1"/>
  <c r="J66" i="1"/>
  <c r="J67" i="1"/>
  <c r="J68" i="1"/>
  <c r="J69" i="1"/>
  <c r="J70" i="1"/>
  <c r="J71" i="1"/>
  <c r="J72" i="1"/>
  <c r="J73" i="1"/>
  <c r="J74" i="1"/>
  <c r="J75" i="1"/>
  <c r="J64" i="1"/>
  <c r="J53" i="1"/>
  <c r="J54" i="1"/>
  <c r="J55" i="1"/>
  <c r="J56" i="1"/>
  <c r="J57" i="1"/>
  <c r="J58" i="1"/>
  <c r="J59" i="1"/>
  <c r="J60" i="1"/>
  <c r="J61" i="1"/>
  <c r="J62" i="1"/>
  <c r="J63" i="1"/>
  <c r="J52" i="1"/>
  <c r="J41" i="1"/>
  <c r="J42" i="1"/>
  <c r="J43" i="1"/>
  <c r="J44" i="1"/>
  <c r="J45" i="1"/>
  <c r="J46" i="1"/>
  <c r="J47" i="1"/>
  <c r="J48" i="1"/>
  <c r="J49" i="1"/>
  <c r="J50" i="1"/>
  <c r="J51" i="1"/>
  <c r="J40" i="1"/>
  <c r="J29" i="1"/>
  <c r="J30" i="1"/>
  <c r="J31" i="1"/>
  <c r="J32" i="1"/>
  <c r="J33" i="1"/>
  <c r="J34" i="1"/>
  <c r="J35" i="1"/>
  <c r="J36" i="1"/>
  <c r="J37" i="1"/>
  <c r="J38" i="1"/>
  <c r="J39" i="1"/>
  <c r="J28" i="1"/>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G288" i="5" s="1"/>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G258" i="5" s="1"/>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G227" i="5" s="1"/>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G196" i="5" s="1"/>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G166" i="5" s="1"/>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G135" i="5" s="1"/>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G105"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G74" i="5" s="1"/>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W13" i="5"/>
  <c r="V13" i="5"/>
  <c r="U13" i="5"/>
  <c r="T13" i="5"/>
  <c r="S13" i="5"/>
  <c r="R13" i="5"/>
  <c r="N13" i="5"/>
  <c r="V12" i="5"/>
  <c r="U12" i="5"/>
  <c r="T12" i="5"/>
  <c r="S12" i="5"/>
  <c r="R12" i="5"/>
  <c r="N12" i="5"/>
  <c r="W12" i="5" s="1"/>
  <c r="W11" i="5"/>
  <c r="V11" i="5"/>
  <c r="U11" i="5"/>
  <c r="T11" i="5"/>
  <c r="S11" i="5"/>
  <c r="R11" i="5"/>
  <c r="N11" i="5"/>
  <c r="V10" i="5"/>
  <c r="U10" i="5"/>
  <c r="T10" i="5"/>
  <c r="S10" i="5"/>
  <c r="R10" i="5"/>
  <c r="N10" i="5"/>
  <c r="W10" i="5" s="1"/>
  <c r="V9" i="5"/>
  <c r="U9" i="5"/>
  <c r="T9" i="5"/>
  <c r="S9" i="5"/>
  <c r="R9" i="5"/>
  <c r="N9" i="5"/>
  <c r="W9" i="5" s="1"/>
  <c r="W8" i="5"/>
  <c r="V8" i="5"/>
  <c r="U8" i="5"/>
  <c r="T8" i="5"/>
  <c r="S8" i="5"/>
  <c r="R8" i="5"/>
  <c r="N8" i="5"/>
  <c r="V7" i="5"/>
  <c r="U7" i="5"/>
  <c r="T7" i="5"/>
  <c r="S7" i="5"/>
  <c r="R7" i="5"/>
  <c r="N7" i="5"/>
  <c r="W7" i="5" s="1"/>
  <c r="W6" i="5"/>
  <c r="V6" i="5"/>
  <c r="U6" i="5"/>
  <c r="T6" i="5"/>
  <c r="S6" i="5"/>
  <c r="R6" i="5"/>
  <c r="N6" i="5"/>
  <c r="V5" i="5"/>
  <c r="U5" i="5"/>
  <c r="T5" i="5"/>
  <c r="S5" i="5"/>
  <c r="R5" i="5"/>
  <c r="N5" i="5"/>
  <c r="W5" i="5" s="1"/>
  <c r="W4" i="5"/>
  <c r="V4" i="5"/>
  <c r="U4" i="5"/>
  <c r="T4" i="5"/>
  <c r="S4" i="5"/>
  <c r="R4" i="5"/>
  <c r="N4" i="5"/>
  <c r="W3" i="5"/>
  <c r="V3" i="5"/>
  <c r="U3" i="5"/>
  <c r="T3" i="5"/>
  <c r="S3" i="5"/>
  <c r="R3" i="5"/>
  <c r="N3" i="5"/>
  <c r="V2" i="5"/>
  <c r="U2" i="5"/>
  <c r="T2" i="5"/>
  <c r="S2" i="5"/>
  <c r="R2" i="5"/>
  <c r="N2" i="5"/>
  <c r="W2" i="5" s="1"/>
  <c r="D2" i="5"/>
  <c r="C2" i="5"/>
  <c r="I65" i="1"/>
  <c r="I66" i="1"/>
  <c r="I67" i="1"/>
  <c r="I68" i="1"/>
  <c r="I70" i="1"/>
  <c r="I72" i="1"/>
  <c r="L72" i="1" s="1"/>
  <c r="I73" i="1"/>
  <c r="I74" i="1"/>
  <c r="L74" i="1" s="1"/>
  <c r="I75" i="1"/>
  <c r="L75" i="1" s="1"/>
  <c r="I64" i="1"/>
  <c r="I53" i="1"/>
  <c r="L53" i="1" s="1"/>
  <c r="I54" i="1"/>
  <c r="I55" i="1"/>
  <c r="L55" i="1" s="1"/>
  <c r="I56" i="1"/>
  <c r="I58" i="1"/>
  <c r="I60" i="1"/>
  <c r="I61" i="1"/>
  <c r="I62" i="1"/>
  <c r="I63" i="1"/>
  <c r="I52" i="1"/>
  <c r="I41" i="1"/>
  <c r="I42" i="1"/>
  <c r="I43" i="1"/>
  <c r="I44" i="1"/>
  <c r="I46" i="1"/>
  <c r="I49" i="1"/>
  <c r="L49" i="1" s="1"/>
  <c r="I50" i="1"/>
  <c r="I51" i="1"/>
  <c r="I40" i="1"/>
  <c r="I29" i="1"/>
  <c r="I30" i="1"/>
  <c r="I31" i="1"/>
  <c r="I32" i="1"/>
  <c r="I34" i="1"/>
  <c r="I35" i="1"/>
  <c r="I36" i="1"/>
  <c r="I37" i="1"/>
  <c r="L37" i="1" s="1"/>
  <c r="I38" i="1"/>
  <c r="I39" i="1"/>
  <c r="I28" i="1"/>
  <c r="C65" i="1"/>
  <c r="C66" i="1"/>
  <c r="C67" i="1"/>
  <c r="C68" i="1"/>
  <c r="C69" i="1"/>
  <c r="C70" i="1"/>
  <c r="C71" i="1"/>
  <c r="C72" i="1"/>
  <c r="C73" i="1"/>
  <c r="C74" i="1"/>
  <c r="C75" i="1"/>
  <c r="C64" i="1"/>
  <c r="C53" i="1"/>
  <c r="C54" i="1"/>
  <c r="C55" i="1"/>
  <c r="C56" i="1"/>
  <c r="C57" i="1"/>
  <c r="C58" i="1"/>
  <c r="C59" i="1"/>
  <c r="C60" i="1"/>
  <c r="C61" i="1"/>
  <c r="C62" i="1"/>
  <c r="C63" i="1"/>
  <c r="C52" i="1"/>
  <c r="C41" i="1"/>
  <c r="C42" i="1"/>
  <c r="C43" i="1"/>
  <c r="C44" i="1"/>
  <c r="C45" i="1"/>
  <c r="C46" i="1"/>
  <c r="C47" i="1"/>
  <c r="C48" i="1"/>
  <c r="C49" i="1"/>
  <c r="C50" i="1"/>
  <c r="C51" i="1"/>
  <c r="C40" i="1"/>
  <c r="C30" i="1"/>
  <c r="C31" i="1"/>
  <c r="C32" i="1"/>
  <c r="C33" i="1"/>
  <c r="C34" i="1"/>
  <c r="C35" i="1"/>
  <c r="C36" i="1"/>
  <c r="C37" i="1"/>
  <c r="C38" i="1"/>
  <c r="C39" i="1"/>
  <c r="C29" i="1"/>
  <c r="E29" i="1" s="1"/>
  <c r="C28" i="1"/>
  <c r="J45" i="4"/>
  <c r="K45" i="4"/>
  <c r="J29" i="4"/>
  <c r="K29" i="4"/>
  <c r="J14" i="4"/>
  <c r="K14" i="4"/>
  <c r="I11" i="4"/>
  <c r="L11" i="4"/>
  <c r="I12" i="4"/>
  <c r="L12" i="4"/>
  <c r="I13" i="4"/>
  <c r="L13" i="4"/>
  <c r="I2" i="4"/>
  <c r="L2" i="4"/>
  <c r="I3" i="4"/>
  <c r="L3" i="4"/>
  <c r="I4" i="4"/>
  <c r="L4" i="4"/>
  <c r="I5" i="4"/>
  <c r="L5" i="4"/>
  <c r="I6" i="4"/>
  <c r="L6" i="4"/>
  <c r="I7" i="4"/>
  <c r="L7" i="4"/>
  <c r="I8" i="4"/>
  <c r="L8" i="4"/>
  <c r="I9" i="4"/>
  <c r="L9" i="4"/>
  <c r="I10" i="4"/>
  <c r="L10" i="4"/>
  <c r="I26" i="4"/>
  <c r="L26" i="4"/>
  <c r="I27" i="4"/>
  <c r="L27" i="4"/>
  <c r="I28" i="4"/>
  <c r="L28" i="4"/>
  <c r="I17" i="4"/>
  <c r="L17" i="4"/>
  <c r="I18" i="4"/>
  <c r="L18" i="4"/>
  <c r="I19" i="4"/>
  <c r="L19" i="4"/>
  <c r="I20" i="4"/>
  <c r="L20" i="4"/>
  <c r="I21" i="4"/>
  <c r="L21" i="4"/>
  <c r="I22" i="4"/>
  <c r="L22" i="4"/>
  <c r="I23" i="4"/>
  <c r="L23" i="4"/>
  <c r="I24" i="4"/>
  <c r="L24" i="4"/>
  <c r="I25" i="4"/>
  <c r="L25" i="4"/>
  <c r="I41" i="4"/>
  <c r="L41" i="4"/>
  <c r="I42" i="4"/>
  <c r="L42" i="4"/>
  <c r="I43" i="4"/>
  <c r="L43" i="4"/>
  <c r="I32" i="4"/>
  <c r="L32" i="4"/>
  <c r="L45" i="4" s="1"/>
  <c r="I33" i="4"/>
  <c r="L33" i="4"/>
  <c r="I34" i="4"/>
  <c r="L34" i="4"/>
  <c r="I35" i="4"/>
  <c r="L35" i="4"/>
  <c r="I36" i="4"/>
  <c r="L36" i="4"/>
  <c r="I37" i="4"/>
  <c r="I45" i="4" s="1"/>
  <c r="L37" i="4"/>
  <c r="I38" i="4"/>
  <c r="L38" i="4"/>
  <c r="I39" i="4"/>
  <c r="L39" i="4"/>
  <c r="I40" i="4"/>
  <c r="L40" i="4"/>
  <c r="I75" i="3"/>
  <c r="I74" i="3"/>
  <c r="I73" i="3"/>
  <c r="I72" i="3"/>
  <c r="I71" i="3"/>
  <c r="I70" i="3"/>
  <c r="I68" i="3"/>
  <c r="I67" i="3"/>
  <c r="I66" i="3"/>
  <c r="I76" i="3" s="1"/>
  <c r="I65" i="3"/>
  <c r="I64" i="3"/>
  <c r="I51" i="3"/>
  <c r="I50" i="3"/>
  <c r="I49" i="3"/>
  <c r="I48" i="3"/>
  <c r="I47" i="3"/>
  <c r="I46" i="3"/>
  <c r="I44" i="3"/>
  <c r="I43" i="3"/>
  <c r="I42" i="3"/>
  <c r="I41" i="3"/>
  <c r="I40" i="3"/>
  <c r="I24" i="3"/>
  <c r="I23" i="3"/>
  <c r="I22" i="3"/>
  <c r="I21" i="3"/>
  <c r="I48" i="1" s="1"/>
  <c r="I20" i="3"/>
  <c r="I59" i="1" s="1"/>
  <c r="L59" i="1" s="1"/>
  <c r="I19" i="3"/>
  <c r="I17" i="3"/>
  <c r="I16" i="3"/>
  <c r="I15" i="3"/>
  <c r="I14" i="3"/>
  <c r="I13" i="3"/>
  <c r="F28" i="1" a="1"/>
  <c r="F29" i="1" a="1"/>
  <c r="F28" i="1" l="1"/>
  <c r="L42" i="1"/>
  <c r="K64" i="1"/>
  <c r="L50" i="1"/>
  <c r="L41" i="1"/>
  <c r="L29" i="1"/>
  <c r="L61" i="1"/>
  <c r="L56" i="1"/>
  <c r="L34" i="1"/>
  <c r="L36" i="1"/>
  <c r="L48" i="1"/>
  <c r="L60" i="1"/>
  <c r="L31" i="1"/>
  <c r="L32" i="1"/>
  <c r="L70" i="1"/>
  <c r="L46" i="1"/>
  <c r="L43" i="1"/>
  <c r="L30" i="1"/>
  <c r="L62" i="1"/>
  <c r="L38" i="1"/>
  <c r="L35" i="1"/>
  <c r="L63" i="1"/>
  <c r="K73" i="1"/>
  <c r="L73" i="1"/>
  <c r="L51" i="1"/>
  <c r="L68" i="1"/>
  <c r="L39" i="1"/>
  <c r="L58" i="1"/>
  <c r="L67" i="1"/>
  <c r="K33" i="1"/>
  <c r="L33" i="1"/>
  <c r="K45" i="1"/>
  <c r="L45" i="1"/>
  <c r="K57" i="1"/>
  <c r="L57" i="1"/>
  <c r="K69" i="1"/>
  <c r="L69" i="1"/>
  <c r="L44" i="1"/>
  <c r="K54" i="1"/>
  <c r="L54" i="1"/>
  <c r="K72" i="1"/>
  <c r="K56" i="1"/>
  <c r="K53" i="1"/>
  <c r="K58" i="1"/>
  <c r="K70" i="1"/>
  <c r="L28" i="1"/>
  <c r="K40" i="1"/>
  <c r="K74" i="1"/>
  <c r="K51" i="1"/>
  <c r="K39" i="1"/>
  <c r="K38" i="1"/>
  <c r="K50" i="1"/>
  <c r="K31" i="1"/>
  <c r="E30" i="1"/>
  <c r="E31" i="1" s="1"/>
  <c r="E32" i="1" s="1"/>
  <c r="E33" i="1" s="1"/>
  <c r="E34" i="1" s="1"/>
  <c r="E35" i="1" s="1"/>
  <c r="E36" i="1" s="1"/>
  <c r="E37" i="1" s="1"/>
  <c r="E38" i="1" s="1"/>
  <c r="E39" i="1" s="1"/>
  <c r="E40" i="1" s="1"/>
  <c r="E41" i="1" s="1"/>
  <c r="K62" i="1"/>
  <c r="K60" i="1"/>
  <c r="K66" i="1"/>
  <c r="K42" i="1"/>
  <c r="K67" i="1"/>
  <c r="K75" i="1"/>
  <c r="F29" i="1"/>
  <c r="M9" i="8"/>
  <c r="M13" i="8"/>
  <c r="O13" i="8" s="1"/>
  <c r="K49" i="1"/>
  <c r="K36" i="1"/>
  <c r="K34" i="1"/>
  <c r="K44" i="1"/>
  <c r="K32" i="1"/>
  <c r="K65" i="1"/>
  <c r="K41" i="1"/>
  <c r="K48" i="1"/>
  <c r="K29" i="1"/>
  <c r="L52" i="1"/>
  <c r="K63" i="1"/>
  <c r="K37" i="1"/>
  <c r="K59" i="1"/>
  <c r="K28" i="1"/>
  <c r="L64" i="1"/>
  <c r="L40" i="1"/>
  <c r="K61" i="1"/>
  <c r="K46" i="1"/>
  <c r="K35" i="1"/>
  <c r="K68" i="1"/>
  <c r="K55" i="1"/>
  <c r="K43" i="1"/>
  <c r="K30" i="1"/>
  <c r="L66" i="1"/>
  <c r="K52" i="1"/>
  <c r="L65" i="1"/>
  <c r="I25" i="3"/>
  <c r="I71" i="1"/>
  <c r="L71" i="1" s="1"/>
  <c r="I47" i="1"/>
  <c r="L47" i="1" s="1"/>
  <c r="I52" i="3"/>
  <c r="W15" i="5"/>
  <c r="D14" i="1"/>
  <c r="D15" i="1"/>
  <c r="D13" i="1"/>
  <c r="D12" i="1"/>
  <c r="I29" i="4"/>
  <c r="I14" i="4"/>
  <c r="L29" i="4"/>
  <c r="L14" i="4"/>
  <c r="F30" i="1" a="1"/>
  <c r="F41" i="1" a="1"/>
  <c r="H28" i="1" l="1"/>
  <c r="G28" i="1"/>
  <c r="F41" i="1"/>
  <c r="G41" i="1" s="1"/>
  <c r="E42" i="1"/>
  <c r="E43" i="1" s="1"/>
  <c r="E44" i="1" s="1"/>
  <c r="E45" i="1" s="1"/>
  <c r="E46" i="1" s="1"/>
  <c r="E47" i="1" s="1"/>
  <c r="E48" i="1" s="1"/>
  <c r="E49" i="1" s="1"/>
  <c r="E50" i="1" s="1"/>
  <c r="E51" i="1" s="1"/>
  <c r="E52" i="1" s="1"/>
  <c r="E53" i="1" s="1"/>
  <c r="E54" i="1" s="1"/>
  <c r="E55" i="1" s="1"/>
  <c r="E56" i="1" s="1"/>
  <c r="E57" i="1" s="1"/>
  <c r="E58" i="1" s="1"/>
  <c r="E59" i="1" s="1"/>
  <c r="E60" i="1" s="1"/>
  <c r="E61" i="1" s="1"/>
  <c r="E62" i="1" s="1"/>
  <c r="E63" i="1" s="1"/>
  <c r="E64" i="1" s="1"/>
  <c r="E65" i="1" s="1"/>
  <c r="E66" i="1" s="1"/>
  <c r="E67" i="1" s="1"/>
  <c r="E68" i="1" s="1"/>
  <c r="E69" i="1" s="1"/>
  <c r="E70" i="1" s="1"/>
  <c r="E71" i="1" s="1"/>
  <c r="E72" i="1" s="1"/>
  <c r="E73" i="1" s="1"/>
  <c r="E74" i="1" s="1"/>
  <c r="E75" i="1" s="1"/>
  <c r="G29" i="1"/>
  <c r="H29" i="1"/>
  <c r="F30" i="1"/>
  <c r="P13" i="8"/>
  <c r="Q13" i="8"/>
  <c r="N13" i="8"/>
  <c r="K71" i="1"/>
  <c r="K47" i="1"/>
  <c r="F31" i="1" a="1"/>
  <c r="G30" i="1" l="1"/>
  <c r="H30" i="1"/>
  <c r="F31" i="1"/>
  <c r="R13" i="8"/>
  <c r="F32" i="1" a="1"/>
  <c r="G31" i="1" l="1"/>
  <c r="H31" i="1"/>
  <c r="F32" i="1"/>
  <c r="F33" i="1" a="1"/>
  <c r="G32" i="1" l="1"/>
  <c r="H32" i="1"/>
  <c r="F33" i="1"/>
  <c r="F34" i="1" a="1"/>
  <c r="G33" i="1" l="1"/>
  <c r="H33" i="1"/>
  <c r="F34" i="1"/>
  <c r="F35" i="1" a="1"/>
  <c r="G34" i="1" l="1"/>
  <c r="H34" i="1"/>
  <c r="F35" i="1"/>
  <c r="F36" i="1" a="1"/>
  <c r="G35" i="1" l="1"/>
  <c r="H35" i="1"/>
  <c r="F36" i="1"/>
  <c r="F37" i="1" a="1"/>
  <c r="H36" i="1" l="1"/>
  <c r="G36" i="1"/>
  <c r="F37" i="1"/>
  <c r="F38" i="1" a="1"/>
  <c r="G37" i="1" l="1"/>
  <c r="H37" i="1"/>
  <c r="F38" i="1"/>
  <c r="F39" i="1" a="1"/>
  <c r="G38" i="1" l="1"/>
  <c r="H38" i="1"/>
  <c r="F39" i="1"/>
  <c r="F40" i="1" a="1"/>
  <c r="G39" i="1" l="1"/>
  <c r="H39" i="1"/>
  <c r="F40" i="1"/>
  <c r="H40" i="1" l="1"/>
  <c r="G40" i="1"/>
  <c r="F42" i="1" a="1"/>
  <c r="H41" i="1" l="1"/>
  <c r="F42" i="1"/>
  <c r="F43" i="1" a="1"/>
  <c r="G42" i="1" l="1"/>
  <c r="H42" i="1"/>
  <c r="F43" i="1"/>
  <c r="F44" i="1" a="1"/>
  <c r="G43" i="1" l="1"/>
  <c r="H43" i="1"/>
  <c r="F44" i="1"/>
  <c r="F45" i="1" a="1"/>
  <c r="G44" i="1" l="1"/>
  <c r="H44" i="1"/>
  <c r="F45" i="1"/>
  <c r="F46" i="1" a="1"/>
  <c r="G45" i="1" l="1"/>
  <c r="H45" i="1"/>
  <c r="F46" i="1"/>
  <c r="F47" i="1" a="1"/>
  <c r="H46" i="1" l="1"/>
  <c r="G46" i="1"/>
  <c r="F47" i="1"/>
  <c r="F48" i="1" a="1"/>
  <c r="G47" i="1" l="1"/>
  <c r="H47" i="1"/>
  <c r="F48" i="1"/>
  <c r="F49" i="1" a="1"/>
  <c r="H48" i="1" l="1"/>
  <c r="G48" i="1"/>
  <c r="F49" i="1"/>
  <c r="F50" i="1" a="1"/>
  <c r="G49" i="1" l="1"/>
  <c r="H49" i="1"/>
  <c r="F50" i="1"/>
  <c r="F51" i="1" a="1"/>
  <c r="G50" i="1" l="1"/>
  <c r="H50" i="1"/>
  <c r="F51" i="1"/>
  <c r="F52" i="1" a="1"/>
  <c r="G51" i="1" l="1"/>
  <c r="H51" i="1"/>
  <c r="F52" i="1"/>
  <c r="F53" i="1" a="1"/>
  <c r="G52" i="1" l="1"/>
  <c r="H52" i="1"/>
  <c r="F53" i="1"/>
  <c r="F54" i="1" a="1"/>
  <c r="G53" i="1" l="1"/>
  <c r="H53" i="1"/>
  <c r="F54" i="1"/>
  <c r="F55" i="1" a="1"/>
  <c r="G54" i="1" l="1"/>
  <c r="H54" i="1"/>
  <c r="F55" i="1"/>
  <c r="F56" i="1" a="1"/>
  <c r="G55" i="1" l="1"/>
  <c r="H55" i="1"/>
  <c r="F56" i="1"/>
  <c r="F57" i="1" a="1"/>
  <c r="G56" i="1" l="1"/>
  <c r="H56" i="1"/>
  <c r="F57" i="1"/>
  <c r="F58" i="1" a="1"/>
  <c r="G57" i="1" l="1"/>
  <c r="H57" i="1"/>
  <c r="F58" i="1"/>
  <c r="F59" i="1" a="1"/>
  <c r="G58" i="1" l="1"/>
  <c r="H58" i="1"/>
  <c r="F59" i="1"/>
  <c r="F60" i="1" a="1"/>
  <c r="G59" i="1" l="1"/>
  <c r="H59" i="1"/>
  <c r="F60" i="1"/>
  <c r="F61" i="1" a="1"/>
  <c r="H60" i="1" l="1"/>
  <c r="G60" i="1"/>
  <c r="F61" i="1"/>
  <c r="F62" i="1" a="1"/>
  <c r="G61" i="1" l="1"/>
  <c r="H61" i="1"/>
  <c r="F62" i="1"/>
  <c r="F63" i="1" a="1"/>
  <c r="G62" i="1" l="1"/>
  <c r="H62" i="1"/>
  <c r="F63" i="1"/>
  <c r="F64" i="1" a="1"/>
  <c r="G63" i="1" l="1"/>
  <c r="H63" i="1"/>
  <c r="F64" i="1"/>
  <c r="F65" i="1" a="1"/>
  <c r="G64" i="1" l="1"/>
  <c r="H64" i="1"/>
  <c r="F65" i="1"/>
  <c r="F66" i="1" a="1"/>
  <c r="G65" i="1" l="1"/>
  <c r="H65" i="1"/>
  <c r="F66" i="1"/>
  <c r="F67" i="1" a="1"/>
  <c r="G66" i="1" l="1"/>
  <c r="H66" i="1"/>
  <c r="F67" i="1"/>
  <c r="F68" i="1" a="1"/>
  <c r="G67" i="1" l="1"/>
  <c r="H67" i="1"/>
  <c r="F68" i="1"/>
  <c r="F69" i="1" a="1"/>
  <c r="G68" i="1" l="1"/>
  <c r="H68" i="1"/>
  <c r="F69" i="1"/>
  <c r="F70" i="1" a="1"/>
  <c r="G69" i="1" l="1"/>
  <c r="H69" i="1"/>
  <c r="F70" i="1"/>
  <c r="F71" i="1" a="1"/>
  <c r="G70" i="1" l="1"/>
  <c r="H70" i="1"/>
  <c r="F71" i="1"/>
  <c r="F72" i="1" a="1"/>
  <c r="G71" i="1" l="1"/>
  <c r="H71" i="1"/>
  <c r="F72" i="1"/>
  <c r="F73" i="1" a="1"/>
  <c r="G72" i="1" l="1"/>
  <c r="H72" i="1"/>
  <c r="F73" i="1"/>
  <c r="F74" i="1" a="1"/>
  <c r="G73" i="1" l="1"/>
  <c r="H73" i="1"/>
  <c r="F74" i="1"/>
  <c r="F75" i="1" a="1"/>
  <c r="G74" i="1" l="1"/>
  <c r="H74" i="1"/>
  <c r="F75" i="1"/>
  <c r="G75" i="1" l="1"/>
  <c r="G16" i="1" s="1"/>
  <c r="H75" i="1"/>
  <c r="H1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Campana</author>
  </authors>
  <commentList>
    <comment ref="A4" authorId="0" shapeId="0" xr:uid="{CABFE33E-AF29-4E4B-95C2-2A3D5E3861D5}">
      <text>
        <r>
          <rPr>
            <b/>
            <sz val="9"/>
            <color indexed="81"/>
            <rFont val="Tahoma"/>
            <family val="2"/>
          </rPr>
          <t>Patrick Campana:</t>
        </r>
        <r>
          <rPr>
            <sz val="9"/>
            <color indexed="81"/>
            <rFont val="Tahoma"/>
            <family val="2"/>
          </rPr>
          <t xml:space="preserve">
These cells are controlled by the binary variables in cells D2-D5</t>
        </r>
      </text>
    </comment>
    <comment ref="A5" authorId="0" shapeId="0" xr:uid="{3F7C96AA-F0F8-41E2-AF92-2476D6056774}">
      <text>
        <r>
          <rPr>
            <b/>
            <sz val="9"/>
            <color indexed="81"/>
            <rFont val="Tahoma"/>
            <family val="2"/>
          </rPr>
          <t>Patrick Campana:</t>
        </r>
        <r>
          <rPr>
            <sz val="9"/>
            <color indexed="81"/>
            <rFont val="Tahoma"/>
            <family val="2"/>
          </rPr>
          <t xml:space="preserve">
As it stands now Colorado Pike Minnow Flows are included directly into Outflow Constraints</t>
        </r>
      </text>
    </comment>
    <comment ref="B11" authorId="0" shapeId="0" xr:uid="{2F54011F-5D13-43F7-9E88-667377052B0C}">
      <text>
        <r>
          <rPr>
            <b/>
            <sz val="9"/>
            <color indexed="81"/>
            <rFont val="Tahoma"/>
            <family val="2"/>
          </rPr>
          <t>Patrick Campana:</t>
        </r>
        <r>
          <rPr>
            <sz val="9"/>
            <color indexed="81"/>
            <rFont val="Tahoma"/>
            <family val="2"/>
          </rPr>
          <t xml:space="preserve">
1 = dry
2 = average
3 = wet
</t>
        </r>
      </text>
    </comment>
    <comment ref="G12" authorId="0" shapeId="0" xr:uid="{2D696E26-E713-4ABA-A013-DD3942780671}">
      <text>
        <r>
          <rPr>
            <b/>
            <sz val="9"/>
            <color indexed="81"/>
            <rFont val="Tahoma"/>
            <family val="2"/>
          </rPr>
          <t>Patrick Campana:</t>
        </r>
        <r>
          <rPr>
            <sz val="9"/>
            <color indexed="81"/>
            <rFont val="Tahoma"/>
            <family val="2"/>
          </rPr>
          <t xml:space="preserve">
Assumes 30 day months </t>
        </r>
      </text>
    </comment>
    <comment ref="C27" authorId="0" shapeId="0" xr:uid="{FDE80D56-4816-48E4-A947-A3524AE8A2C5}">
      <text>
        <r>
          <rPr>
            <b/>
            <sz val="9"/>
            <color indexed="81"/>
            <rFont val="Tahoma"/>
            <family val="2"/>
          </rPr>
          <t>Patrick Campana:</t>
        </r>
        <r>
          <rPr>
            <sz val="9"/>
            <color indexed="81"/>
            <rFont val="Tahoma"/>
            <family val="2"/>
          </rPr>
          <t xml:space="preserve">
Flow into F.G.
Based on Hydrologic 
Scenario Above
</t>
        </r>
      </text>
    </comment>
    <comment ref="E27" authorId="0" shapeId="0" xr:uid="{578BC2B5-A977-48D1-A4EF-82C4952A5042}">
      <text>
        <r>
          <rPr>
            <b/>
            <sz val="9"/>
            <color indexed="81"/>
            <rFont val="Tahoma"/>
            <family val="2"/>
          </rPr>
          <t>Patrick Campana:</t>
        </r>
        <r>
          <rPr>
            <sz val="9"/>
            <color indexed="81"/>
            <rFont val="Tahoma"/>
            <family val="2"/>
          </rPr>
          <t xml:space="preserve">
Conservation of Mass satisfied with this rows calculation of storage
</t>
        </r>
      </text>
    </comment>
    <comment ref="F27" authorId="0" shapeId="0" xr:uid="{4D143864-3304-43DF-B3CE-75C3D7A22DC3}">
      <text>
        <r>
          <rPr>
            <b/>
            <sz val="9"/>
            <color indexed="81"/>
            <rFont val="Tahoma"/>
            <family val="2"/>
          </rPr>
          <t>Patrick Campana:</t>
        </r>
        <r>
          <rPr>
            <sz val="9"/>
            <color indexed="81"/>
            <rFont val="Tahoma"/>
            <family val="2"/>
          </rPr>
          <t xml:space="preserve">
Maximum or minimum elevation constraints are evaluated on this column</t>
        </r>
      </text>
    </comment>
    <comment ref="I27" authorId="0" shapeId="0" xr:uid="{983BCD1D-5968-4133-A202-485171B4066A}">
      <text>
        <r>
          <rPr>
            <b/>
            <sz val="9"/>
            <color indexed="81"/>
            <rFont val="Tahoma"/>
            <family val="2"/>
          </rPr>
          <t>Patrick Campana:</t>
        </r>
        <r>
          <rPr>
            <sz val="9"/>
            <color indexed="81"/>
            <rFont val="Tahoma"/>
            <family val="2"/>
          </rPr>
          <t xml:space="preserve">
Also Based On Hydrologic Scario Above
</t>
        </r>
      </text>
    </comment>
    <comment ref="J27" authorId="0" shapeId="0" xr:uid="{52AB659E-CCC0-421A-9AA8-A9423E87E6B0}">
      <text>
        <r>
          <rPr>
            <b/>
            <sz val="9"/>
            <color indexed="81"/>
            <rFont val="Tahoma"/>
            <family val="2"/>
          </rPr>
          <t>Patrick Campana:</t>
        </r>
        <r>
          <rPr>
            <sz val="9"/>
            <color indexed="81"/>
            <rFont val="Tahoma"/>
            <family val="2"/>
          </rPr>
          <t xml:space="preserve">
Uses Minimum Hydropower Values, likely unrealistic
</t>
        </r>
      </text>
    </comment>
    <comment ref="K27" authorId="0" shapeId="0" xr:uid="{29B6389C-DA09-4974-81D2-2C2B0C5777CF}">
      <text>
        <r>
          <rPr>
            <b/>
            <sz val="9"/>
            <color indexed="81"/>
            <rFont val="Tahoma"/>
            <family val="2"/>
          </rPr>
          <t>Patrick Campana:</t>
        </r>
        <r>
          <rPr>
            <sz val="9"/>
            <color indexed="81"/>
            <rFont val="Tahoma"/>
            <family val="2"/>
          </rPr>
          <t xml:space="preserve">
Choose Value which is binding for each month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<sst xmlns="http://schemas.openxmlformats.org/spreadsheetml/2006/main" count="335" uniqueCount="167">
  <si>
    <t>Month</t>
  </si>
  <si>
    <t>Year</t>
  </si>
  <si>
    <t>Year1</t>
  </si>
  <si>
    <t>Year2</t>
  </si>
  <si>
    <t>Year3</t>
  </si>
  <si>
    <t>Year4</t>
  </si>
  <si>
    <t xml:space="preserve">Monthly Flow  Demands Based on R1 for all months except June which is based on R2. All monthly cfs besides june are based on Flaming Gorge Operational Plan 2020 May to April 2021 anticipated flow  releases for moderately dry conditions. These release rates were selected because they allow for the model to store water in  wetter hydrologic scenarios and satisfy water  and ecological demands in dry scenarios. Water will be forced to "spill" if reservoir elevation surpases a  6045. June flows were based on flow rates measured at the green river gauge near jensen utah (gauge id 09261000). End of season contraint that reservoir elevation must be 6023 ft end of march ( i.e. april)(Taken from Rosenberg data). Maximum reservoir elevation of 6045 ft (USBR https://www.usbr.gov/projects/index.php?id=105). 
</t>
  </si>
  <si>
    <t>Wet</t>
  </si>
  <si>
    <t>Base Flow R1</t>
  </si>
  <si>
    <t>Oct</t>
  </si>
  <si>
    <t xml:space="preserve">cfs </t>
  </si>
  <si>
    <t>standard</t>
  </si>
  <si>
    <t>R1 (Acft/M)</t>
  </si>
  <si>
    <t>Nov</t>
  </si>
  <si>
    <t>January</t>
  </si>
  <si>
    <t>Flow cfs</t>
  </si>
  <si>
    <t>Dec</t>
  </si>
  <si>
    <t>End of Season 
Release</t>
  </si>
  <si>
    <t>Febuary</t>
  </si>
  <si>
    <t>Jan</t>
  </si>
  <si>
    <t>March</t>
  </si>
  <si>
    <t>Feb</t>
  </si>
  <si>
    <t>April</t>
  </si>
  <si>
    <t>May</t>
  </si>
  <si>
    <t>June</t>
  </si>
  <si>
    <t xml:space="preserve"> cfs </t>
  </si>
  <si>
    <t>July</t>
  </si>
  <si>
    <t>complex</t>
  </si>
  <si>
    <t>August</t>
  </si>
  <si>
    <t>September</t>
  </si>
  <si>
    <t xml:space="preserve">Aug </t>
  </si>
  <si>
    <t>October</t>
  </si>
  <si>
    <t>Sep</t>
  </si>
  <si>
    <t>November</t>
  </si>
  <si>
    <t>December</t>
  </si>
  <si>
    <t>Total</t>
  </si>
  <si>
    <t>aprox F.G. total demand</t>
  </si>
  <si>
    <t>Average</t>
  </si>
  <si>
    <t>Dry</t>
  </si>
  <si>
    <t>Wet Year</t>
  </si>
  <si>
    <t>FG Release</t>
  </si>
  <si>
    <t>GR_Jensen_Flow</t>
  </si>
  <si>
    <t>Yampa_Flow</t>
  </si>
  <si>
    <t>F.G. Net Inflow</t>
  </si>
  <si>
    <t>BF_Flow_Acftperd</t>
  </si>
  <si>
    <t>HF_Flow_Acftperd</t>
  </si>
  <si>
    <t>GR_Flow_Acftperd</t>
  </si>
  <si>
    <t>Average Year</t>
  </si>
  <si>
    <t>d</t>
  </si>
  <si>
    <t>GR At Jensen</t>
  </si>
  <si>
    <t>Hydrologic
Scenario</t>
  </si>
  <si>
    <t>Sum Inflow
(Ac-ft)</t>
  </si>
  <si>
    <t>Flow In 
(Ac-ft)</t>
  </si>
  <si>
    <t>Monthly
Flow&gt;= Constraint</t>
  </si>
  <si>
    <t>Monthly
Hydropower &gt;=
Constraint</t>
  </si>
  <si>
    <t>Storage
(Ac-ft)</t>
  </si>
  <si>
    <t>Elevation
(ft)</t>
  </si>
  <si>
    <t>Flow out
(Ac-ft)</t>
  </si>
  <si>
    <t>Date</t>
  </si>
  <si>
    <t>DailyQ cfd</t>
  </si>
  <si>
    <t>cf/Month</t>
  </si>
  <si>
    <t>Minimum</t>
  </si>
  <si>
    <t xml:space="preserve">
Month</t>
  </si>
  <si>
    <t>Mar</t>
  </si>
  <si>
    <t>Aug</t>
  </si>
  <si>
    <t>Sept</t>
  </si>
  <si>
    <t xml:space="preserve">Dec </t>
  </si>
  <si>
    <t>edfs</t>
  </si>
  <si>
    <t>Binding?</t>
  </si>
  <si>
    <t>Flaming Gorge Elevation-Volume-Area Relationship</t>
  </si>
  <si>
    <t>(USBR 2017, CRSS Model)</t>
  </si>
  <si>
    <t>Elevation (ft)</t>
  </si>
  <si>
    <t>Live Storage (ac-ft)</t>
  </si>
  <si>
    <t>Total Storage (ac-ft)</t>
  </si>
  <si>
    <t>Area (acres)</t>
  </si>
  <si>
    <t>Evaporation (acre-feet)</t>
  </si>
  <si>
    <t>Row</t>
  </si>
  <si>
    <t>Total Storage</t>
  </si>
  <si>
    <t>Elevation</t>
  </si>
  <si>
    <t>Use VLOOKUP() to find the nearest (not larger) area for a specified Total storage volume</t>
  </si>
  <si>
    <t>For example, the nearest area associated with 2,000,000 ac-ft is:</t>
  </si>
  <si>
    <t>Volume (ac-ft)</t>
  </si>
  <si>
    <t>To do more exact interpolation between the two neighboring area values:</t>
  </si>
  <si>
    <t>Volume Below</t>
  </si>
  <si>
    <t>Volume Higher</t>
  </si>
  <si>
    <t>Area Below</t>
  </si>
  <si>
    <t>Area Above</t>
  </si>
  <si>
    <t>Area Interpolated</t>
  </si>
  <si>
    <t>Intial Storage
Ac-ft</t>
  </si>
  <si>
    <t xml:space="preserve">Min Res Elevation
ft </t>
  </si>
  <si>
    <t>ft</t>
  </si>
  <si>
    <t>Max Res Elevation
ft</t>
  </si>
  <si>
    <t xml:space="preserve">Flaming Gorge </t>
  </si>
  <si>
    <t>Note lower reservoir elevations causes more wide spread blue green algea blooms</t>
  </si>
  <si>
    <t>Upper Limit of Drawdown Levels</t>
  </si>
  <si>
    <t>cfs</t>
  </si>
  <si>
    <t xml:space="preserve">% Exceedance Range </t>
  </si>
  <si>
    <t xml:space="preserve">1 to 10 </t>
  </si>
  <si>
    <t>40.1 to 59.9</t>
  </si>
  <si>
    <t xml:space="preserve">Outflows </t>
  </si>
  <si>
    <t>Hydro</t>
  </si>
  <si>
    <t>Bypass Tunnel</t>
  </si>
  <si>
    <t>Spillway</t>
  </si>
  <si>
    <t>ac-ft/d</t>
  </si>
  <si>
    <r>
      <t xml:space="preserve">"&lt;----Note Spillway can only be used for elevation of </t>
    </r>
    <r>
      <rPr>
        <b/>
        <sz val="11"/>
        <color theme="1"/>
        <rFont val="Calibri"/>
        <family val="2"/>
        <scheme val="minor"/>
      </rPr>
      <t>6006 ft and up,</t>
    </r>
    <r>
      <rPr>
        <sz val="11"/>
        <color theme="1"/>
        <rFont val="Calibri"/>
        <family val="2"/>
        <scheme val="minor"/>
      </rPr>
      <t xml:space="preserve"> spillway is gated. </t>
    </r>
  </si>
  <si>
    <t xml:space="preserve">Rosenberg Data </t>
  </si>
  <si>
    <t xml:space="preserve">located below penstocks </t>
  </si>
  <si>
    <t>Reservoir</t>
  </si>
  <si>
    <t>liveCapacityStorage (acre-feet)</t>
  </si>
  <si>
    <t>ratedPowerElev (feet)</t>
  </si>
  <si>
    <t>MinPowerElev (feet)</t>
  </si>
  <si>
    <t>minRelease (cfs)</t>
  </si>
  <si>
    <t>maxRelease (cfs)</t>
  </si>
  <si>
    <t>DeadCapacity (acre-feet)</t>
  </si>
  <si>
    <t>Mid pt. 
Rated Power 
Elevation</t>
  </si>
  <si>
    <t>Flaming Gorge</t>
  </si>
  <si>
    <t>February</t>
  </si>
  <si>
    <t>Max Out flow Contraint 
w/out spillway</t>
  </si>
  <si>
    <t>Binding Outflow 
Constraint</t>
  </si>
  <si>
    <t>Min Elevation
Constraint
check???</t>
  </si>
  <si>
    <t>Max Elevation
Constraint 
check???</t>
  </si>
  <si>
    <t>Binary LTRP Variables</t>
  </si>
  <si>
    <t>Color Key</t>
  </si>
  <si>
    <t>Decision Variables</t>
  </si>
  <si>
    <t>Cells Related to LTRP Flow</t>
  </si>
  <si>
    <t>Cells Related Colorado P. Flows</t>
  </si>
  <si>
    <t>Check Model Results Cells</t>
  </si>
  <si>
    <t>Yearly Parameters and Values</t>
  </si>
  <si>
    <t>Sum Outflow
(Ac-ft)</t>
  </si>
  <si>
    <t xml:space="preserve">Constant Constraints </t>
  </si>
  <si>
    <t>Total:</t>
  </si>
  <si>
    <t>-</t>
  </si>
  <si>
    <t>∑MinElevConstr.Met</t>
  </si>
  <si>
    <t>∑MaxElevConstr.Met</t>
  </si>
  <si>
    <t>"&lt;---Should both be zero if constraints are met</t>
  </si>
  <si>
    <t>Constraints/Important</t>
  </si>
  <si>
    <t xml:space="preserve">Intial Storage </t>
  </si>
  <si>
    <t>Total Release to Lake Powell Constraint</t>
  </si>
  <si>
    <t xml:space="preserve">SUM Releases Over 5 Years </t>
  </si>
  <si>
    <t>Ac-Ft</t>
  </si>
  <si>
    <t xml:space="preserve">Num Years LTRP Flows Met </t>
  </si>
  <si>
    <t xml:space="preserve">Hydrologic Scenario </t>
  </si>
  <si>
    <t>Wet For all 5 years  BaseFlow, Inputs</t>
  </si>
  <si>
    <t xml:space="preserve">Results Summary </t>
  </si>
  <si>
    <t>Hydro Power Constraint</t>
  </si>
  <si>
    <t>Binding In all months but June and July</t>
  </si>
  <si>
    <t>BaseFlow</t>
  </si>
  <si>
    <t xml:space="preserve">Binding only in July indicating binding Colorado PikeMinnow Constraint in July </t>
  </si>
  <si>
    <t>Enviro</t>
  </si>
  <si>
    <t xml:space="preserve">Binding In June for every year, met in every Year </t>
  </si>
  <si>
    <t>Next Step</t>
  </si>
  <si>
    <t>Useful Findings</t>
  </si>
  <si>
    <t xml:space="preserve">Minimum Value of Releases to Lake Powel for given intial storage volume and Hydrologic Scenarios </t>
  </si>
  <si>
    <t xml:space="preserve">Increase Total Release to Lake Powell Constraint unit. LTRP can not be met in all 5 years. </t>
  </si>
  <si>
    <t>graphs take from gams xlsx sheet SemesterProj_Run1</t>
  </si>
  <si>
    <r>
      <rPr>
        <b/>
        <sz val="11"/>
        <color theme="1"/>
        <rFont val="Calibri"/>
        <family val="2"/>
        <scheme val="minor"/>
      </rPr>
      <t xml:space="preserve">First Model Run: </t>
    </r>
    <r>
      <rPr>
        <sz val="11"/>
        <color theme="1"/>
        <rFont val="Calibri"/>
        <family val="2"/>
        <scheme val="minor"/>
      </rPr>
      <t xml:space="preserve">#1  </t>
    </r>
    <r>
      <rPr>
        <b/>
        <sz val="11"/>
        <color theme="1"/>
        <rFont val="Calibri"/>
        <family val="2"/>
        <scheme val="minor"/>
      </rPr>
      <t xml:space="preserve">
GAMS Xlsx file name: </t>
    </r>
    <r>
      <rPr>
        <sz val="11"/>
        <color theme="1"/>
        <rFont val="Calibri"/>
        <family val="2"/>
        <scheme val="minor"/>
      </rPr>
      <t xml:space="preserve">SemesterProj_Run1.xlsx
</t>
    </r>
    <r>
      <rPr>
        <b/>
        <sz val="11"/>
        <color theme="1"/>
        <rFont val="Calibri"/>
        <family val="2"/>
        <scheme val="minor"/>
      </rPr>
      <t xml:space="preserve">Hydrologic Scenario Name: </t>
    </r>
    <r>
      <rPr>
        <sz val="11"/>
        <color theme="1"/>
        <rFont val="Calibri"/>
        <family val="2"/>
        <scheme val="minor"/>
      </rPr>
      <t>Water+</t>
    </r>
    <r>
      <rPr>
        <b/>
        <sz val="11"/>
        <color theme="1"/>
        <rFont val="Calibri"/>
        <family val="2"/>
        <scheme val="minor"/>
      </rPr>
      <t xml:space="preserve">
Description:</t>
    </r>
    <r>
      <rPr>
        <sz val="11"/>
        <color theme="1"/>
        <rFont val="Calibri"/>
        <family val="2"/>
        <scheme val="minor"/>
      </rPr>
      <t xml:space="preserve">
Abundance Of water, High Reservoir
Start Volume, Constraint Requiring
Minimum Amount of  Releases To Lake Powell = 0</t>
    </r>
  </si>
  <si>
    <t xml:space="preserve">Important Parameter Values and Model Results </t>
  </si>
  <si>
    <t xml:space="preserve">IncreaseSteps </t>
  </si>
  <si>
    <r>
      <rPr>
        <b/>
        <sz val="11"/>
        <color theme="1"/>
        <rFont val="Calibri"/>
        <family val="2"/>
        <scheme val="minor"/>
      </rPr>
      <t xml:space="preserve">First Model Run: </t>
    </r>
    <r>
      <rPr>
        <sz val="11"/>
        <color theme="1"/>
        <rFont val="Calibri"/>
        <family val="2"/>
        <scheme val="minor"/>
      </rPr>
      <t xml:space="preserve">#2  </t>
    </r>
    <r>
      <rPr>
        <b/>
        <sz val="11"/>
        <color theme="1"/>
        <rFont val="Calibri"/>
        <family val="2"/>
        <scheme val="minor"/>
      </rPr>
      <t xml:space="preserve">
GAMS Xlsx file name: </t>
    </r>
    <r>
      <rPr>
        <sz val="11"/>
        <color theme="1"/>
        <rFont val="Calibri"/>
        <family val="2"/>
        <scheme val="minor"/>
      </rPr>
      <t xml:space="preserve">SemesterProj_Run2.xlsx
</t>
    </r>
    <r>
      <rPr>
        <b/>
        <sz val="11"/>
        <color theme="1"/>
        <rFont val="Calibri"/>
        <family val="2"/>
        <scheme val="minor"/>
      </rPr>
      <t xml:space="preserve">Hydrologic Scenario Name: </t>
    </r>
    <r>
      <rPr>
        <sz val="11"/>
        <color theme="1"/>
        <rFont val="Calibri"/>
        <family val="2"/>
        <scheme val="minor"/>
      </rPr>
      <t>Water+</t>
    </r>
    <r>
      <rPr>
        <b/>
        <sz val="11"/>
        <color theme="1"/>
        <rFont val="Calibri"/>
        <family val="2"/>
        <scheme val="minor"/>
      </rPr>
      <t xml:space="preserve">
Description:</t>
    </r>
    <r>
      <rPr>
        <sz val="11"/>
        <color theme="1"/>
        <rFont val="Calibri"/>
        <family val="2"/>
        <scheme val="minor"/>
      </rPr>
      <t xml:space="preserve">
Abundance Of water, High Reservoir
Start Volume, Constraint Requiring
Minimum Amount of  Releases To Lake Powell = 7077223 Ac-ft</t>
    </r>
  </si>
  <si>
    <t>Weird Spike early on likely to meet lake Powell</t>
  </si>
  <si>
    <t xml:space="preserve">max release constraint, in year 5 res Storage Was almost </t>
  </si>
  <si>
    <t xml:space="preserve">Exactly at minimum reservoir elevation </t>
  </si>
  <si>
    <t>Hydro binds in all months but June and July</t>
  </si>
  <si>
    <t>BF binds in July by 8671.736</t>
  </si>
  <si>
    <r>
      <rPr>
        <b/>
        <sz val="11"/>
        <color theme="1"/>
        <rFont val="Calibri"/>
        <family val="2"/>
        <scheme val="minor"/>
      </rPr>
      <t xml:space="preserve">First Model Run: </t>
    </r>
    <r>
      <rPr>
        <sz val="11"/>
        <color theme="1"/>
        <rFont val="Calibri"/>
        <family val="2"/>
        <scheme val="minor"/>
      </rPr>
      <t xml:space="preserve">#3  </t>
    </r>
    <r>
      <rPr>
        <b/>
        <sz val="11"/>
        <color theme="1"/>
        <rFont val="Calibri"/>
        <family val="2"/>
        <scheme val="minor"/>
      </rPr>
      <t xml:space="preserve">
GAMS Xlsx file name: </t>
    </r>
    <r>
      <rPr>
        <sz val="11"/>
        <color theme="1"/>
        <rFont val="Calibri"/>
        <family val="2"/>
        <scheme val="minor"/>
      </rPr>
      <t xml:space="preserve">Did not save
</t>
    </r>
    <r>
      <rPr>
        <b/>
        <sz val="11"/>
        <color theme="1"/>
        <rFont val="Calibri"/>
        <family val="2"/>
        <scheme val="minor"/>
      </rPr>
      <t xml:space="preserve">Hydrologic Scenario Name: </t>
    </r>
    <r>
      <rPr>
        <sz val="11"/>
        <color theme="1"/>
        <rFont val="Calibri"/>
        <family val="2"/>
        <scheme val="minor"/>
      </rPr>
      <t>Water+</t>
    </r>
    <r>
      <rPr>
        <b/>
        <sz val="11"/>
        <color theme="1"/>
        <rFont val="Calibri"/>
        <family val="2"/>
        <scheme val="minor"/>
      </rPr>
      <t xml:space="preserve">
Description:</t>
    </r>
    <r>
      <rPr>
        <sz val="11"/>
        <color theme="1"/>
        <rFont val="Calibri"/>
        <family val="2"/>
        <scheme val="minor"/>
      </rPr>
      <t xml:space="preserve">
Abundance Of water, High Reservoir
Start Volume, Constraint Requiring
Minimum Amount of  Releases To Lake Powell = 8077223 Ac-ft</t>
    </r>
  </si>
  <si>
    <t xml:space="preserve">Model Report: Problem is Integer Infeasible </t>
  </si>
  <si>
    <t>Ac-ft per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</si>
</sst>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_);_(* \(#,##0\);_(* &quot;-&quot;??_);_(@_)"/>
    <numFmt numFmtId="165" formatCode="0.000"/>
    <numFmt numFmtId="166" formatCode="0.0000"/>
    <numFmt numFmtId="167" formatCode="yyyy\-mm\-dd;@"/>
    <numFmt numFmtId="168" formatCode="_(* #,##0.0_);_(* \(#,##0.0\);_(* &quot;-&quot;??_);_(@_)"/>
  </numFmts>
  <fonts count="12" x14ac:knownFonts="1">
    <font>
      <sz val="11"/>
      <color theme="1"/>
      <name val="Calibri"/>
      <family val="2"/>
      <scheme val="minor"/>
    </font>
    <font>
      <sz val="11"/>
      <color theme="1"/>
      <name val="Calibri"/>
      <family val="2"/>
      <scheme val="minor"/>
    </font>
    <font>
      <b/>
      <sz val="11"/>
      <color rgb="FFFA7D00"/>
      <name val="Calibri"/>
      <family val="2"/>
      <scheme val="minor"/>
    </font>
    <font>
      <b/>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name val="Calibri"/>
      <family val="2"/>
      <scheme val="minor"/>
    </font>
    <font>
      <b/>
      <sz val="11"/>
      <color theme="7"/>
      <name val="Calibri"/>
      <family val="2"/>
      <scheme val="minor"/>
    </font>
    <font>
      <b/>
      <sz val="16"/>
      <color theme="1"/>
      <name val="Calibri"/>
      <family val="2"/>
      <scheme val="minor"/>
    </font>
    <font>
      <b/>
      <sz val="11"/>
      <name val="Calibri"/>
      <family val="2"/>
      <scheme val="minor"/>
    </font>
    <font>
      <sz val="12"/>
      <color theme="1"/>
      <name val="Calibri"/>
      <family val="2"/>
      <scheme val="minor"/>
    </font>
  </fonts>
  <fills count="15">
    <fill>
      <patternFill patternType="none"/>
    </fill>
    <fill>
      <patternFill patternType="gray125"/>
    </fill>
    <fill>
      <patternFill patternType="solid">
        <fgColor rgb="FFF2F2F2"/>
      </patternFill>
    </fill>
    <fill>
      <patternFill patternType="solid">
        <fgColor theme="8"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bgColor indexed="64"/>
      </patternFill>
    </fill>
    <fill>
      <patternFill patternType="solid">
        <fgColor rgb="FF7030A0"/>
        <bgColor indexed="64"/>
      </patternFill>
    </fill>
  </fills>
  <borders count="38">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0" fontId="2" fillId="2" borderId="1" applyNumberFormat="0" applyAlignment="0" applyProtection="0"/>
  </cellStyleXfs>
  <cellXfs count="180">
    <xf numFmtId="0" fontId="0" fillId="0" borderId="0" xfId="0"/>
    <xf numFmtId="0" fontId="0" fillId="3" borderId="0" xfId="0" applyFill="1"/>
    <xf numFmtId="0" fontId="0" fillId="4" borderId="0" xfId="0" applyFill="1"/>
    <xf numFmtId="0" fontId="0" fillId="0" borderId="0" xfId="0" applyAlignment="1">
      <alignment horizontal="center"/>
    </xf>
    <xf numFmtId="0" fontId="0" fillId="3" borderId="2" xfId="0" applyFill="1" applyBorder="1" applyAlignment="1">
      <alignment horizontal="center"/>
    </xf>
    <xf numFmtId="0" fontId="0" fillId="4" borderId="2" xfId="0" applyFill="1" applyBorder="1" applyAlignment="1">
      <alignment horizontal="center"/>
    </xf>
    <xf numFmtId="0" fontId="0" fillId="3" borderId="7" xfId="0" applyFill="1" applyBorder="1" applyAlignment="1">
      <alignment horizontal="center"/>
    </xf>
    <xf numFmtId="0" fontId="0" fillId="4" borderId="7" xfId="0" applyFill="1" applyBorder="1" applyAlignment="1">
      <alignment horizontal="center"/>
    </xf>
    <xf numFmtId="0" fontId="0" fillId="0" borderId="0" xfId="0" applyAlignment="1">
      <alignment horizontal="center"/>
    </xf>
    <xf numFmtId="164" fontId="0" fillId="6" borderId="8" xfId="1" applyNumberFormat="1" applyFont="1" applyFill="1" applyBorder="1" applyAlignment="1">
      <alignment horizontal="center"/>
    </xf>
    <xf numFmtId="164" fontId="0" fillId="6" borderId="9" xfId="1" applyNumberFormat="1" applyFont="1" applyFill="1" applyBorder="1" applyAlignment="1">
      <alignment horizontal="center"/>
    </xf>
    <xf numFmtId="164" fontId="0" fillId="6" borderId="13" xfId="1" applyNumberFormat="1" applyFont="1" applyFill="1" applyBorder="1" applyAlignment="1">
      <alignment horizontal="center"/>
    </xf>
    <xf numFmtId="164" fontId="0" fillId="6" borderId="14" xfId="1" applyNumberFormat="1" applyFont="1" applyFill="1" applyBorder="1" applyAlignment="1">
      <alignment horizontal="center"/>
    </xf>
    <xf numFmtId="0" fontId="0" fillId="6" borderId="13" xfId="0" applyFill="1" applyBorder="1" applyAlignment="1">
      <alignment horizontal="center"/>
    </xf>
    <xf numFmtId="0" fontId="0" fillId="7" borderId="13" xfId="0" applyFill="1" applyBorder="1" applyAlignment="1">
      <alignment horizontal="center"/>
    </xf>
    <xf numFmtId="0" fontId="0" fillId="7" borderId="0" xfId="0" applyFill="1" applyAlignment="1">
      <alignment horizontal="center"/>
    </xf>
    <xf numFmtId="164" fontId="0" fillId="6" borderId="15" xfId="1" applyNumberFormat="1" applyFont="1" applyFill="1" applyBorder="1" applyAlignment="1">
      <alignment horizontal="center"/>
    </xf>
    <xf numFmtId="164" fontId="0" fillId="6" borderId="16" xfId="1" applyNumberFormat="1" applyFont="1" applyFill="1" applyBorder="1" applyAlignment="1">
      <alignment horizontal="center"/>
    </xf>
    <xf numFmtId="164" fontId="0" fillId="6" borderId="17" xfId="1" applyNumberFormat="1" applyFont="1" applyFill="1" applyBorder="1" applyAlignment="1">
      <alignment horizontal="center"/>
    </xf>
    <xf numFmtId="164" fontId="0" fillId="6" borderId="18" xfId="1" applyNumberFormat="1" applyFont="1" applyFill="1" applyBorder="1" applyAlignment="1">
      <alignment horizontal="center"/>
    </xf>
    <xf numFmtId="0" fontId="0" fillId="0" borderId="13" xfId="0" applyBorder="1" applyAlignment="1">
      <alignment horizontal="center"/>
    </xf>
    <xf numFmtId="0" fontId="0" fillId="6" borderId="13" xfId="0" applyFill="1" applyBorder="1" applyAlignment="1">
      <alignment horizontal="left"/>
    </xf>
    <xf numFmtId="0" fontId="0" fillId="6" borderId="8" xfId="0" applyFill="1" applyBorder="1" applyAlignment="1">
      <alignment horizontal="center"/>
    </xf>
    <xf numFmtId="0" fontId="0" fillId="6" borderId="9" xfId="0" applyFill="1" applyBorder="1" applyAlignment="1">
      <alignment horizontal="center"/>
    </xf>
    <xf numFmtId="164" fontId="0" fillId="6" borderId="14" xfId="1" applyNumberFormat="1" applyFont="1" applyFill="1" applyBorder="1" applyAlignment="1">
      <alignment horizontal="left"/>
    </xf>
    <xf numFmtId="0" fontId="0" fillId="6" borderId="15" xfId="0" applyFill="1" applyBorder="1" applyAlignment="1">
      <alignment horizontal="center"/>
    </xf>
    <xf numFmtId="164" fontId="0" fillId="6" borderId="16" xfId="1" applyNumberFormat="1" applyFont="1" applyFill="1" applyBorder="1" applyAlignment="1">
      <alignment horizontal="right"/>
    </xf>
    <xf numFmtId="0" fontId="0" fillId="6" borderId="17" xfId="0" applyFill="1" applyBorder="1" applyAlignment="1">
      <alignment horizontal="center"/>
    </xf>
    <xf numFmtId="164" fontId="0" fillId="6" borderId="18" xfId="1" applyNumberFormat="1" applyFont="1" applyFill="1" applyBorder="1" applyAlignment="1">
      <alignment horizontal="right"/>
    </xf>
    <xf numFmtId="0" fontId="0" fillId="6" borderId="0" xfId="0" applyFill="1" applyAlignment="1">
      <alignment horizontal="left"/>
    </xf>
    <xf numFmtId="164" fontId="0" fillId="0" borderId="6" xfId="1" applyNumberFormat="1" applyFont="1" applyBorder="1"/>
    <xf numFmtId="164" fontId="0" fillId="0" borderId="0" xfId="1" applyNumberFormat="1" applyFont="1"/>
    <xf numFmtId="164" fontId="0" fillId="0" borderId="19" xfId="1" applyNumberFormat="1" applyFont="1" applyBorder="1"/>
    <xf numFmtId="164" fontId="0" fillId="0" borderId="20" xfId="1" applyNumberFormat="1" applyFont="1" applyBorder="1"/>
    <xf numFmtId="0" fontId="0" fillId="0" borderId="20" xfId="0" applyBorder="1"/>
    <xf numFmtId="0" fontId="0" fillId="0" borderId="17" xfId="0" applyBorder="1"/>
    <xf numFmtId="164" fontId="0" fillId="8" borderId="6" xfId="1" applyNumberFormat="1" applyFont="1" applyFill="1" applyBorder="1" applyAlignment="1">
      <alignment horizontal="center"/>
    </xf>
    <xf numFmtId="164" fontId="0" fillId="0" borderId="14" xfId="1" applyNumberFormat="1" applyFont="1" applyBorder="1" applyAlignment="1">
      <alignment horizontal="center"/>
    </xf>
    <xf numFmtId="164" fontId="0" fillId="0" borderId="0" xfId="1" applyNumberFormat="1" applyFont="1" applyBorder="1" applyAlignment="1">
      <alignment horizontal="center"/>
    </xf>
    <xf numFmtId="0" fontId="0" fillId="0" borderId="13" xfId="0" applyBorder="1"/>
    <xf numFmtId="164" fontId="0" fillId="0" borderId="6" xfId="1" applyNumberFormat="1" applyFont="1" applyBorder="1" applyAlignment="1">
      <alignment horizontal="center"/>
    </xf>
    <xf numFmtId="164" fontId="0" fillId="7" borderId="6" xfId="1" applyNumberFormat="1" applyFont="1" applyFill="1" applyBorder="1" applyAlignment="1">
      <alignment horizontal="center"/>
    </xf>
    <xf numFmtId="164" fontId="0" fillId="7" borderId="0" xfId="1" applyNumberFormat="1" applyFont="1" applyFill="1" applyBorder="1" applyAlignment="1">
      <alignment horizontal="center"/>
    </xf>
    <xf numFmtId="0" fontId="0" fillId="7" borderId="0" xfId="0" applyFill="1"/>
    <xf numFmtId="164" fontId="0" fillId="0" borderId="21" xfId="1" applyNumberFormat="1" applyFont="1" applyBorder="1" applyAlignment="1">
      <alignment horizontal="center"/>
    </xf>
    <xf numFmtId="164" fontId="0" fillId="0" borderId="22" xfId="1" applyNumberFormat="1" applyFont="1" applyBorder="1" applyAlignment="1">
      <alignment horizontal="center"/>
    </xf>
    <xf numFmtId="0" fontId="0" fillId="0" borderId="22" xfId="0" applyBorder="1" applyAlignment="1">
      <alignment horizontal="center"/>
    </xf>
    <xf numFmtId="0" fontId="0" fillId="0" borderId="8" xfId="0" applyBorder="1" applyAlignment="1">
      <alignment horizontal="center"/>
    </xf>
    <xf numFmtId="0" fontId="0" fillId="0" borderId="22" xfId="0" applyBorder="1"/>
    <xf numFmtId="0" fontId="0" fillId="0" borderId="8" xfId="0" applyBorder="1"/>
    <xf numFmtId="164" fontId="0" fillId="0" borderId="0" xfId="1" applyNumberFormat="1" applyFont="1" applyAlignment="1">
      <alignment horizontal="center"/>
    </xf>
    <xf numFmtId="164" fontId="0" fillId="7" borderId="0" xfId="1" applyNumberFormat="1" applyFont="1" applyFill="1" applyAlignment="1">
      <alignment horizontal="center"/>
    </xf>
    <xf numFmtId="164" fontId="0" fillId="0" borderId="19" xfId="1" applyNumberFormat="1" applyFont="1" applyBorder="1" applyAlignment="1">
      <alignment horizontal="center"/>
    </xf>
    <xf numFmtId="164" fontId="0" fillId="0" borderId="20" xfId="1" applyNumberFormat="1" applyFont="1" applyBorder="1" applyAlignment="1">
      <alignment horizontal="center"/>
    </xf>
    <xf numFmtId="0" fontId="0" fillId="0" borderId="20" xfId="0" applyBorder="1" applyAlignment="1">
      <alignment horizontal="center"/>
    </xf>
    <xf numFmtId="0" fontId="0" fillId="0" borderId="17" xfId="0" applyBorder="1" applyAlignment="1">
      <alignment horizontal="center"/>
    </xf>
    <xf numFmtId="164" fontId="0" fillId="0" borderId="23" xfId="1" applyNumberFormat="1" applyFont="1" applyBorder="1" applyAlignment="1">
      <alignment horizontal="center"/>
    </xf>
    <xf numFmtId="164" fontId="0" fillId="0" borderId="24" xfId="1" applyNumberFormat="1" applyFont="1"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24" xfId="0" applyBorder="1"/>
    <xf numFmtId="0" fontId="0" fillId="0" borderId="25" xfId="0" applyBorder="1"/>
    <xf numFmtId="164" fontId="0" fillId="0" borderId="5" xfId="1" applyNumberFormat="1" applyFont="1" applyBorder="1" applyAlignment="1">
      <alignment horizontal="center"/>
    </xf>
    <xf numFmtId="164" fontId="0" fillId="0" borderId="11" xfId="1" applyNumberFormat="1" applyFont="1"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0" fillId="0" borderId="11" xfId="0" applyBorder="1"/>
    <xf numFmtId="0" fontId="0" fillId="0" borderId="10" xfId="0" applyBorder="1"/>
    <xf numFmtId="0" fontId="0" fillId="0" borderId="0" xfId="0" applyAlignment="1">
      <alignment wrapText="1"/>
    </xf>
    <xf numFmtId="0" fontId="6" fillId="3" borderId="4" xfId="0" applyFont="1" applyFill="1" applyBorder="1" applyAlignment="1">
      <alignment horizontal="center"/>
    </xf>
    <xf numFmtId="0" fontId="6" fillId="4" borderId="4" xfId="0" applyFont="1" applyFill="1" applyBorder="1" applyAlignment="1">
      <alignment horizontal="center"/>
    </xf>
    <xf numFmtId="2" fontId="0" fillId="3" borderId="2" xfId="0" applyNumberFormat="1" applyFill="1" applyBorder="1" applyAlignment="1">
      <alignment horizontal="center"/>
    </xf>
    <xf numFmtId="2" fontId="0" fillId="4" borderId="2" xfId="0" applyNumberFormat="1" applyFill="1" applyBorder="1" applyAlignment="1">
      <alignment horizontal="center"/>
    </xf>
    <xf numFmtId="1" fontId="0" fillId="3" borderId="2" xfId="0" applyNumberFormat="1" applyFill="1" applyBorder="1" applyAlignment="1">
      <alignment horizontal="center"/>
    </xf>
    <xf numFmtId="1" fontId="0" fillId="4" borderId="2" xfId="0" applyNumberFormat="1" applyFill="1" applyBorder="1" applyAlignment="1">
      <alignment horizontal="center"/>
    </xf>
    <xf numFmtId="1" fontId="0" fillId="0" borderId="0" xfId="0" applyNumberFormat="1" applyAlignment="1">
      <alignment horizontal="center"/>
    </xf>
    <xf numFmtId="167" fontId="0" fillId="0" borderId="0" xfId="0" applyNumberFormat="1"/>
    <xf numFmtId="0" fontId="0" fillId="0" borderId="26" xfId="0" applyBorder="1" applyAlignment="1">
      <alignment wrapText="1"/>
    </xf>
    <xf numFmtId="0" fontId="0" fillId="0" borderId="26" xfId="0" applyBorder="1" applyAlignment="1">
      <alignment horizontal="center"/>
    </xf>
    <xf numFmtId="0" fontId="0" fillId="0" borderId="26" xfId="0" applyBorder="1"/>
    <xf numFmtId="2" fontId="0" fillId="0" borderId="0" xfId="0" applyNumberFormat="1"/>
    <xf numFmtId="1" fontId="0" fillId="0" borderId="26" xfId="0" applyNumberFormat="1" applyBorder="1" applyAlignment="1">
      <alignment horizontal="center"/>
    </xf>
    <xf numFmtId="17" fontId="0" fillId="0" borderId="0" xfId="0" applyNumberFormat="1"/>
    <xf numFmtId="1" fontId="0" fillId="0" borderId="0" xfId="0" applyNumberFormat="1"/>
    <xf numFmtId="0" fontId="0" fillId="7" borderId="7" xfId="0" applyFill="1" applyBorder="1" applyAlignment="1">
      <alignment horizontal="center"/>
    </xf>
    <xf numFmtId="0" fontId="0" fillId="9" borderId="7" xfId="0" applyFill="1" applyBorder="1" applyAlignment="1">
      <alignment horizontal="center"/>
    </xf>
    <xf numFmtId="0" fontId="0" fillId="10" borderId="7" xfId="0" applyFill="1" applyBorder="1" applyAlignment="1">
      <alignment horizontal="center"/>
    </xf>
    <xf numFmtId="1" fontId="0" fillId="11" borderId="2" xfId="0" applyNumberFormat="1" applyFill="1" applyBorder="1" applyAlignment="1">
      <alignment horizontal="center"/>
    </xf>
    <xf numFmtId="168" fontId="3" fillId="0" borderId="0" xfId="1" applyNumberFormat="1" applyFont="1"/>
    <xf numFmtId="0" fontId="3" fillId="0" borderId="0" xfId="0" applyFont="1"/>
    <xf numFmtId="164" fontId="3" fillId="0" borderId="0" xfId="1" applyNumberFormat="1" applyFont="1"/>
    <xf numFmtId="168" fontId="0" fillId="0" borderId="0" xfId="1" applyNumberFormat="1" applyFont="1"/>
    <xf numFmtId="168" fontId="3" fillId="5" borderId="0" xfId="1" applyNumberFormat="1" applyFont="1" applyFill="1"/>
    <xf numFmtId="0" fontId="3" fillId="5" borderId="0" xfId="0" applyFont="1" applyFill="1"/>
    <xf numFmtId="164" fontId="3" fillId="5" borderId="0" xfId="1" applyNumberFormat="1" applyFont="1" applyFill="1"/>
    <xf numFmtId="0" fontId="3" fillId="3" borderId="0" xfId="0" applyFont="1" applyFill="1" applyAlignment="1">
      <alignment wrapText="1"/>
    </xf>
    <xf numFmtId="0" fontId="3" fillId="5" borderId="0" xfId="0" applyFont="1" applyFill="1" applyAlignment="1">
      <alignment horizontal="center"/>
    </xf>
    <xf numFmtId="164" fontId="2" fillId="2" borderId="1" xfId="2" applyNumberFormat="1"/>
    <xf numFmtId="164" fontId="0" fillId="0" borderId="0" xfId="0" applyNumberFormat="1"/>
    <xf numFmtId="168" fontId="0" fillId="0" borderId="0" xfId="0" applyNumberFormat="1"/>
    <xf numFmtId="1" fontId="0" fillId="0" borderId="0" xfId="1" applyNumberFormat="1" applyFont="1" applyAlignment="1">
      <alignment horizontal="center"/>
    </xf>
    <xf numFmtId="166" fontId="0" fillId="0" borderId="0" xfId="0" applyNumberFormat="1" applyAlignment="1">
      <alignment horizontal="center"/>
    </xf>
    <xf numFmtId="3" fontId="0" fillId="0" borderId="0" xfId="0" applyNumberFormat="1"/>
    <xf numFmtId="0" fontId="0" fillId="0" borderId="12" xfId="0" applyBorder="1"/>
    <xf numFmtId="0" fontId="0" fillId="0" borderId="14" xfId="0" applyBorder="1"/>
    <xf numFmtId="0" fontId="0" fillId="0" borderId="15" xfId="0" applyBorder="1"/>
    <xf numFmtId="1" fontId="0" fillId="0" borderId="13" xfId="0" applyNumberFormat="1" applyBorder="1"/>
    <xf numFmtId="1" fontId="0" fillId="0" borderId="14" xfId="0" applyNumberFormat="1" applyBorder="1"/>
    <xf numFmtId="0" fontId="3" fillId="12" borderId="2" xfId="0" applyFont="1" applyFill="1" applyBorder="1" applyAlignment="1">
      <alignment horizontal="center" wrapText="1"/>
    </xf>
    <xf numFmtId="0" fontId="3" fillId="12" borderId="0" xfId="0" applyFont="1" applyFill="1" applyAlignment="1">
      <alignment horizontal="center" wrapText="1"/>
    </xf>
    <xf numFmtId="0" fontId="0" fillId="0" borderId="2" xfId="0" applyBorder="1"/>
    <xf numFmtId="164" fontId="0" fillId="0" borderId="2" xfId="1" applyNumberFormat="1" applyFont="1" applyBorder="1"/>
    <xf numFmtId="164" fontId="0" fillId="0" borderId="0" xfId="1" applyNumberFormat="1" applyFont="1" applyBorder="1"/>
    <xf numFmtId="0" fontId="3" fillId="12" borderId="2" xfId="0" applyFont="1" applyFill="1" applyBorder="1" applyAlignment="1">
      <alignment horizontal="center"/>
    </xf>
    <xf numFmtId="0" fontId="0" fillId="0" borderId="2" xfId="0" applyBorder="1" applyAlignment="1">
      <alignment horizontal="center"/>
    </xf>
    <xf numFmtId="0" fontId="3" fillId="4" borderId="2" xfId="0" applyFont="1" applyFill="1" applyBorder="1"/>
    <xf numFmtId="165" fontId="3" fillId="4" borderId="2" xfId="0" applyNumberFormat="1" applyFont="1" applyFill="1" applyBorder="1" applyAlignment="1">
      <alignment horizontal="center"/>
    </xf>
    <xf numFmtId="1" fontId="0" fillId="0" borderId="18" xfId="0" applyNumberFormat="1" applyBorder="1"/>
    <xf numFmtId="0" fontId="0" fillId="13" borderId="27" xfId="0" applyFill="1" applyBorder="1" applyAlignment="1">
      <alignment horizontal="center"/>
    </xf>
    <xf numFmtId="0" fontId="8" fillId="14" borderId="3" xfId="0" applyFont="1" applyFill="1" applyBorder="1" applyAlignment="1">
      <alignment horizontal="center"/>
    </xf>
    <xf numFmtId="0" fontId="6" fillId="4" borderId="30" xfId="0" applyFont="1" applyFill="1" applyBorder="1" applyAlignment="1">
      <alignment horizontal="center"/>
    </xf>
    <xf numFmtId="0" fontId="0" fillId="4" borderId="23" xfId="0" applyFill="1" applyBorder="1" applyAlignment="1">
      <alignment horizontal="center"/>
    </xf>
    <xf numFmtId="1" fontId="0" fillId="4" borderId="31" xfId="0" applyNumberFormat="1" applyFill="1" applyBorder="1" applyAlignment="1">
      <alignment horizontal="center"/>
    </xf>
    <xf numFmtId="2" fontId="0" fillId="4" borderId="31" xfId="0" applyNumberFormat="1" applyFill="1" applyBorder="1" applyAlignment="1">
      <alignment horizontal="center"/>
    </xf>
    <xf numFmtId="0" fontId="0" fillId="4" borderId="31" xfId="0" applyFill="1" applyBorder="1" applyAlignment="1">
      <alignment horizontal="center"/>
    </xf>
    <xf numFmtId="0" fontId="6" fillId="0" borderId="0" xfId="0" applyFont="1" applyFill="1" applyBorder="1" applyAlignment="1">
      <alignment horizontal="center"/>
    </xf>
    <xf numFmtId="0" fontId="0" fillId="0" borderId="0" xfId="0" applyFill="1" applyBorder="1" applyAlignment="1">
      <alignment horizontal="center"/>
    </xf>
    <xf numFmtId="1" fontId="0" fillId="0" borderId="0" xfId="0" applyNumberFormat="1" applyFill="1" applyBorder="1" applyAlignment="1">
      <alignment horizontal="center"/>
    </xf>
    <xf numFmtId="2" fontId="0" fillId="0" borderId="0" xfId="0" applyNumberFormat="1" applyFill="1" applyBorder="1" applyAlignment="1">
      <alignment horizontal="center"/>
    </xf>
    <xf numFmtId="0" fontId="0" fillId="0" borderId="0" xfId="0" applyFill="1" applyBorder="1"/>
    <xf numFmtId="1" fontId="3" fillId="11" borderId="24" xfId="0" applyNumberFormat="1" applyFont="1" applyFill="1" applyBorder="1" applyAlignment="1">
      <alignment horizontal="center"/>
    </xf>
    <xf numFmtId="0" fontId="3" fillId="11" borderId="24" xfId="0" applyFont="1" applyFill="1" applyBorder="1" applyAlignment="1">
      <alignment horizontal="center"/>
    </xf>
    <xf numFmtId="0" fontId="3" fillId="0" borderId="26" xfId="0" applyFont="1" applyBorder="1" applyAlignment="1">
      <alignment wrapText="1"/>
    </xf>
    <xf numFmtId="0" fontId="3" fillId="0" borderId="26" xfId="0" applyFont="1" applyBorder="1" applyAlignment="1">
      <alignment horizontal="center" wrapText="1"/>
    </xf>
    <xf numFmtId="0" fontId="0" fillId="13" borderId="2" xfId="0" applyFill="1" applyBorder="1" applyAlignment="1">
      <alignment horizontal="center"/>
    </xf>
    <xf numFmtId="0" fontId="3" fillId="13" borderId="26" xfId="0" applyFont="1" applyFill="1" applyBorder="1" applyAlignment="1">
      <alignment horizontal="center" wrapText="1"/>
    </xf>
    <xf numFmtId="1" fontId="0" fillId="11" borderId="31" xfId="0" applyNumberFormat="1" applyFill="1" applyBorder="1" applyAlignment="1">
      <alignment horizontal="center"/>
    </xf>
    <xf numFmtId="0" fontId="3" fillId="0" borderId="0" xfId="0" applyFont="1" applyAlignment="1">
      <alignment horizontal="center"/>
    </xf>
    <xf numFmtId="0" fontId="0" fillId="0" borderId="32" xfId="0" applyBorder="1" applyAlignment="1">
      <alignment horizontal="right"/>
    </xf>
    <xf numFmtId="0" fontId="3" fillId="0" borderId="0" xfId="0" applyFont="1" applyBorder="1" applyAlignment="1">
      <alignment horizontal="center" wrapText="1"/>
    </xf>
    <xf numFmtId="0" fontId="0" fillId="0" borderId="0" xfId="0" applyFill="1" applyBorder="1" applyAlignment="1">
      <alignment horizontal="right"/>
    </xf>
    <xf numFmtId="0" fontId="0" fillId="0" borderId="0" xfId="0" applyBorder="1" applyAlignment="1">
      <alignment horizontal="center"/>
    </xf>
    <xf numFmtId="0" fontId="0" fillId="13" borderId="31" xfId="0" applyFill="1" applyBorder="1" applyAlignment="1">
      <alignment horizontal="center"/>
    </xf>
    <xf numFmtId="0" fontId="10" fillId="6" borderId="3" xfId="0" applyFont="1" applyFill="1" applyBorder="1" applyAlignment="1">
      <alignment horizontal="center"/>
    </xf>
    <xf numFmtId="0" fontId="0" fillId="0" borderId="0" xfId="0" applyBorder="1"/>
    <xf numFmtId="0" fontId="7" fillId="6" borderId="0" xfId="0" applyFont="1" applyFill="1" applyAlignment="1">
      <alignment horizontal="center"/>
    </xf>
    <xf numFmtId="0" fontId="0" fillId="6" borderId="0" xfId="0" applyFill="1" applyAlignment="1">
      <alignment horizontal="center" wrapText="1"/>
    </xf>
    <xf numFmtId="0" fontId="6" fillId="3" borderId="33" xfId="0" applyFont="1" applyFill="1" applyBorder="1" applyAlignment="1">
      <alignment horizontal="center"/>
    </xf>
    <xf numFmtId="0" fontId="0" fillId="3" borderId="34" xfId="0" applyFill="1" applyBorder="1" applyAlignment="1">
      <alignment horizontal="center"/>
    </xf>
    <xf numFmtId="1" fontId="0" fillId="3" borderId="35" xfId="0" applyNumberFormat="1" applyFill="1" applyBorder="1" applyAlignment="1">
      <alignment horizontal="center"/>
    </xf>
    <xf numFmtId="2" fontId="0" fillId="3" borderId="35" xfId="0" applyNumberFormat="1" applyFill="1" applyBorder="1" applyAlignment="1">
      <alignment horizontal="center"/>
    </xf>
    <xf numFmtId="0" fontId="0" fillId="3" borderId="35" xfId="0" applyFill="1" applyBorder="1" applyAlignment="1">
      <alignment horizontal="center"/>
    </xf>
    <xf numFmtId="1" fontId="0" fillId="11" borderId="35" xfId="0" applyNumberFormat="1" applyFill="1" applyBorder="1" applyAlignment="1">
      <alignment horizontal="center"/>
    </xf>
    <xf numFmtId="0" fontId="7" fillId="0" borderId="36" xfId="0" applyFont="1" applyFill="1" applyBorder="1" applyAlignment="1">
      <alignment horizontal="center" wrapText="1"/>
    </xf>
    <xf numFmtId="0" fontId="11" fillId="0" borderId="28" xfId="0" applyFont="1" applyBorder="1" applyAlignment="1">
      <alignment horizontal="center"/>
    </xf>
    <xf numFmtId="0" fontId="0" fillId="0" borderId="3" xfId="0" applyFont="1" applyBorder="1" applyAlignment="1">
      <alignment horizontal="center"/>
    </xf>
    <xf numFmtId="0" fontId="0" fillId="0" borderId="36" xfId="0" applyFont="1" applyBorder="1" applyAlignment="1">
      <alignment horizontal="center" wrapText="1"/>
    </xf>
    <xf numFmtId="0" fontId="0" fillId="13" borderId="3" xfId="0" applyFont="1" applyFill="1" applyBorder="1" applyAlignment="1">
      <alignment horizontal="center" wrapText="1"/>
    </xf>
    <xf numFmtId="0" fontId="0" fillId="0" borderId="36" xfId="0" applyFont="1" applyFill="1" applyBorder="1" applyAlignment="1">
      <alignment horizontal="center" wrapText="1"/>
    </xf>
    <xf numFmtId="0" fontId="0" fillId="0" borderId="29" xfId="0" applyFont="1" applyFill="1" applyBorder="1" applyAlignment="1">
      <alignment horizontal="center" wrapText="1"/>
    </xf>
    <xf numFmtId="2" fontId="0" fillId="11" borderId="6" xfId="1" applyNumberFormat="1" applyFont="1" applyFill="1" applyBorder="1" applyAlignment="1">
      <alignment horizontal="center"/>
    </xf>
    <xf numFmtId="0" fontId="3" fillId="6" borderId="3" xfId="0" applyFont="1" applyFill="1" applyBorder="1" applyAlignment="1">
      <alignment horizontal="center" wrapText="1"/>
    </xf>
    <xf numFmtId="0" fontId="3" fillId="0" borderId="37" xfId="0" applyFont="1" applyBorder="1" applyAlignment="1">
      <alignment wrapText="1"/>
    </xf>
    <xf numFmtId="0" fontId="3" fillId="0" borderId="37" xfId="0" applyFont="1" applyBorder="1"/>
    <xf numFmtId="0" fontId="9" fillId="0" borderId="10" xfId="0" applyFont="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0" xfId="0" applyAlignment="1">
      <alignment horizontal="center"/>
    </xf>
    <xf numFmtId="0" fontId="0" fillId="13" borderId="0" xfId="0" applyFill="1" applyAlignment="1">
      <alignment horizontal="center"/>
    </xf>
    <xf numFmtId="0" fontId="0" fillId="11" borderId="0" xfId="0" applyFill="1" applyAlignment="1">
      <alignment horizontal="center"/>
    </xf>
    <xf numFmtId="0" fontId="0" fillId="7" borderId="0" xfId="0" applyFill="1" applyAlignment="1">
      <alignment horizontal="center"/>
    </xf>
    <xf numFmtId="0" fontId="0" fillId="9" borderId="0" xfId="0" applyFill="1" applyAlignment="1">
      <alignment horizontal="center"/>
    </xf>
    <xf numFmtId="0" fontId="8" fillId="14" borderId="0" xfId="0" applyFont="1" applyFill="1" applyAlignment="1">
      <alignment horizontal="center"/>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horizontal="center" wrapText="1"/>
    </xf>
  </cellXfs>
  <cellStyles count="3">
    <cellStyle name="Calculation" xfId="2" builtinId="2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Reservoir Volume</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strRef>
              <c:f>[2]X!$B$4:$B$63</c:f>
              <c:strCache>
                <c:ptCount val="60"/>
                <c:pt idx="0">
                  <c:v>M1</c:v>
                </c:pt>
                <c:pt idx="1">
                  <c:v>M2</c:v>
                </c:pt>
                <c:pt idx="2">
                  <c:v>M3</c:v>
                </c:pt>
                <c:pt idx="3">
                  <c:v>M4</c:v>
                </c:pt>
                <c:pt idx="4">
                  <c:v>M5</c:v>
                </c:pt>
                <c:pt idx="5">
                  <c:v>M6</c:v>
                </c:pt>
                <c:pt idx="6">
                  <c:v>M7</c:v>
                </c:pt>
                <c:pt idx="7">
                  <c:v>M8</c:v>
                </c:pt>
                <c:pt idx="8">
                  <c:v>M9</c:v>
                </c:pt>
                <c:pt idx="9">
                  <c:v>M10</c:v>
                </c:pt>
                <c:pt idx="10">
                  <c:v>M11</c:v>
                </c:pt>
                <c:pt idx="11">
                  <c:v>M12</c:v>
                </c:pt>
                <c:pt idx="12">
                  <c:v>M13</c:v>
                </c:pt>
                <c:pt idx="13">
                  <c:v>M14</c:v>
                </c:pt>
                <c:pt idx="14">
                  <c:v>M15</c:v>
                </c:pt>
                <c:pt idx="15">
                  <c:v>M16</c:v>
                </c:pt>
                <c:pt idx="16">
                  <c:v>M17</c:v>
                </c:pt>
                <c:pt idx="17">
                  <c:v>M18</c:v>
                </c:pt>
                <c:pt idx="18">
                  <c:v>M19</c:v>
                </c:pt>
                <c:pt idx="19">
                  <c:v>M20</c:v>
                </c:pt>
                <c:pt idx="20">
                  <c:v>M21</c:v>
                </c:pt>
                <c:pt idx="21">
                  <c:v>M22</c:v>
                </c:pt>
                <c:pt idx="22">
                  <c:v>M23</c:v>
                </c:pt>
                <c:pt idx="23">
                  <c:v>M24</c:v>
                </c:pt>
                <c:pt idx="24">
                  <c:v>M25</c:v>
                </c:pt>
                <c:pt idx="25">
                  <c:v>M26</c:v>
                </c:pt>
                <c:pt idx="26">
                  <c:v>M27</c:v>
                </c:pt>
                <c:pt idx="27">
                  <c:v>M28</c:v>
                </c:pt>
                <c:pt idx="28">
                  <c:v>M29</c:v>
                </c:pt>
                <c:pt idx="29">
                  <c:v>M30</c:v>
                </c:pt>
                <c:pt idx="30">
                  <c:v>M31</c:v>
                </c:pt>
                <c:pt idx="31">
                  <c:v>M32</c:v>
                </c:pt>
                <c:pt idx="32">
                  <c:v>M33</c:v>
                </c:pt>
                <c:pt idx="33">
                  <c:v>M34</c:v>
                </c:pt>
                <c:pt idx="34">
                  <c:v>M35</c:v>
                </c:pt>
                <c:pt idx="35">
                  <c:v>M36</c:v>
                </c:pt>
                <c:pt idx="36">
                  <c:v>M37</c:v>
                </c:pt>
                <c:pt idx="37">
                  <c:v>M38</c:v>
                </c:pt>
                <c:pt idx="38">
                  <c:v>M39</c:v>
                </c:pt>
                <c:pt idx="39">
                  <c:v>M40</c:v>
                </c:pt>
                <c:pt idx="40">
                  <c:v>M41</c:v>
                </c:pt>
                <c:pt idx="41">
                  <c:v>M42</c:v>
                </c:pt>
                <c:pt idx="42">
                  <c:v>M43</c:v>
                </c:pt>
                <c:pt idx="43">
                  <c:v>M44</c:v>
                </c:pt>
                <c:pt idx="44">
                  <c:v>M45</c:v>
                </c:pt>
                <c:pt idx="45">
                  <c:v>M46</c:v>
                </c:pt>
                <c:pt idx="46">
                  <c:v>M47</c:v>
                </c:pt>
                <c:pt idx="47">
                  <c:v>M48</c:v>
                </c:pt>
                <c:pt idx="48">
                  <c:v>M49</c:v>
                </c:pt>
                <c:pt idx="49">
                  <c:v>M50</c:v>
                </c:pt>
                <c:pt idx="50">
                  <c:v>M51</c:v>
                </c:pt>
                <c:pt idx="51">
                  <c:v>M52</c:v>
                </c:pt>
                <c:pt idx="52">
                  <c:v>M53</c:v>
                </c:pt>
                <c:pt idx="53">
                  <c:v>M54</c:v>
                </c:pt>
                <c:pt idx="54">
                  <c:v>M55</c:v>
                </c:pt>
                <c:pt idx="55">
                  <c:v>M56</c:v>
                </c:pt>
                <c:pt idx="56">
                  <c:v>M57</c:v>
                </c:pt>
                <c:pt idx="57">
                  <c:v>M58</c:v>
                </c:pt>
                <c:pt idx="58">
                  <c:v>M59</c:v>
                </c:pt>
                <c:pt idx="59">
                  <c:v>M60</c:v>
                </c:pt>
              </c:strCache>
            </c:strRef>
          </c:xVal>
          <c:yVal>
            <c:numRef>
              <c:f>[2]X!$C$4:$C$63</c:f>
              <c:numCache>
                <c:formatCode>General</c:formatCode>
                <c:ptCount val="60"/>
                <c:pt idx="0">
                  <c:v>2617726.5000999998</c:v>
                </c:pt>
                <c:pt idx="1">
                  <c:v>2617726.4986999999</c:v>
                </c:pt>
                <c:pt idx="2">
                  <c:v>2617726.4947299999</c:v>
                </c:pt>
                <c:pt idx="3">
                  <c:v>2617726.4944799999</c:v>
                </c:pt>
                <c:pt idx="4">
                  <c:v>2617726.4934899998</c:v>
                </c:pt>
                <c:pt idx="5">
                  <c:v>2268734.7634899998</c:v>
                </c:pt>
                <c:pt idx="6">
                  <c:v>2260063.0281999996</c:v>
                </c:pt>
                <c:pt idx="7">
                  <c:v>2260063.0232999995</c:v>
                </c:pt>
                <c:pt idx="8">
                  <c:v>2260063.0242899996</c:v>
                </c:pt>
                <c:pt idx="9">
                  <c:v>2260063.0198299997</c:v>
                </c:pt>
                <c:pt idx="10">
                  <c:v>2260063.0247899997</c:v>
                </c:pt>
                <c:pt idx="11">
                  <c:v>2260063.0244899997</c:v>
                </c:pt>
                <c:pt idx="12">
                  <c:v>2260063.0245899996</c:v>
                </c:pt>
                <c:pt idx="13">
                  <c:v>2260063.0231899996</c:v>
                </c:pt>
                <c:pt idx="14">
                  <c:v>2260063.0192199997</c:v>
                </c:pt>
                <c:pt idx="15">
                  <c:v>2260063.0189699996</c:v>
                </c:pt>
                <c:pt idx="16">
                  <c:v>2260063.0179799995</c:v>
                </c:pt>
                <c:pt idx="17">
                  <c:v>1911071.2879799996</c:v>
                </c:pt>
                <c:pt idx="18">
                  <c:v>1902399.5526899996</c:v>
                </c:pt>
                <c:pt idx="19">
                  <c:v>1902399.5477899995</c:v>
                </c:pt>
                <c:pt idx="20">
                  <c:v>1902399.5487799996</c:v>
                </c:pt>
                <c:pt idx="21">
                  <c:v>1902399.5443199996</c:v>
                </c:pt>
                <c:pt idx="22">
                  <c:v>1902399.5492799997</c:v>
                </c:pt>
                <c:pt idx="23">
                  <c:v>1902399.5489799997</c:v>
                </c:pt>
                <c:pt idx="24">
                  <c:v>1902399.5490799998</c:v>
                </c:pt>
                <c:pt idx="25">
                  <c:v>1902399.5476799998</c:v>
                </c:pt>
                <c:pt idx="26">
                  <c:v>1902399.5437099999</c:v>
                </c:pt>
                <c:pt idx="27">
                  <c:v>1902399.5434599998</c:v>
                </c:pt>
                <c:pt idx="28">
                  <c:v>1902399.5424699998</c:v>
                </c:pt>
                <c:pt idx="29">
                  <c:v>1553407.8124699998</c:v>
                </c:pt>
                <c:pt idx="30">
                  <c:v>1544736.0771799998</c:v>
                </c:pt>
                <c:pt idx="31">
                  <c:v>1544736.0722799997</c:v>
                </c:pt>
                <c:pt idx="32">
                  <c:v>1544736.0732699998</c:v>
                </c:pt>
                <c:pt idx="33">
                  <c:v>1544736.0688099999</c:v>
                </c:pt>
                <c:pt idx="34">
                  <c:v>1544736.0737699999</c:v>
                </c:pt>
                <c:pt idx="35">
                  <c:v>1544736.0734699999</c:v>
                </c:pt>
                <c:pt idx="36">
                  <c:v>1544736.07357</c:v>
                </c:pt>
                <c:pt idx="37">
                  <c:v>1544736.0721700001</c:v>
                </c:pt>
                <c:pt idx="38">
                  <c:v>1544736.0682000001</c:v>
                </c:pt>
                <c:pt idx="39">
                  <c:v>1544736.0679500001</c:v>
                </c:pt>
                <c:pt idx="40">
                  <c:v>1544736.06696</c:v>
                </c:pt>
                <c:pt idx="41">
                  <c:v>1195744.33696</c:v>
                </c:pt>
                <c:pt idx="42">
                  <c:v>1187072.60167</c:v>
                </c:pt>
                <c:pt idx="43">
                  <c:v>1187072.5967699999</c:v>
                </c:pt>
                <c:pt idx="44">
                  <c:v>1187072.59776</c:v>
                </c:pt>
                <c:pt idx="45">
                  <c:v>1187072.5933000001</c:v>
                </c:pt>
                <c:pt idx="46">
                  <c:v>1187072.5982600001</c:v>
                </c:pt>
                <c:pt idx="47">
                  <c:v>1187072.5979600002</c:v>
                </c:pt>
                <c:pt idx="48">
                  <c:v>1187072.5980600002</c:v>
                </c:pt>
                <c:pt idx="49">
                  <c:v>1187072.5966600003</c:v>
                </c:pt>
                <c:pt idx="50">
                  <c:v>1187072.5926900003</c:v>
                </c:pt>
                <c:pt idx="51">
                  <c:v>1187072.5924400003</c:v>
                </c:pt>
                <c:pt idx="52">
                  <c:v>1187072.5914500002</c:v>
                </c:pt>
                <c:pt idx="53">
                  <c:v>838080.8614500002</c:v>
                </c:pt>
                <c:pt idx="54">
                  <c:v>829409.12616000022</c:v>
                </c:pt>
                <c:pt idx="55">
                  <c:v>829409.12126000016</c:v>
                </c:pt>
                <c:pt idx="56">
                  <c:v>829409.12225000013</c:v>
                </c:pt>
                <c:pt idx="57">
                  <c:v>829409.11779000016</c:v>
                </c:pt>
                <c:pt idx="58">
                  <c:v>829409.12275000021</c:v>
                </c:pt>
                <c:pt idx="59">
                  <c:v>829409.12245000026</c:v>
                </c:pt>
              </c:numCache>
            </c:numRef>
          </c:yVal>
          <c:smooth val="1"/>
          <c:extLst>
            <c:ext xmlns:c16="http://schemas.microsoft.com/office/drawing/2014/chart" uri="{C3380CC4-5D6E-409C-BE32-E72D297353CC}">
              <c16:uniqueId val="{00000000-D877-4175-B618-7DDB24089071}"/>
            </c:ext>
          </c:extLst>
        </c:ser>
        <c:dLbls>
          <c:showLegendKey val="0"/>
          <c:showVal val="0"/>
          <c:showCatName val="0"/>
          <c:showSerName val="0"/>
          <c:showPercent val="0"/>
          <c:showBubbleSize val="0"/>
        </c:dLbls>
        <c:axId val="816629568"/>
        <c:axId val="816632480"/>
      </c:scatterChart>
      <c:valAx>
        <c:axId val="816629568"/>
        <c:scaling>
          <c:orientation val="minMax"/>
          <c:max val="6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6632480"/>
        <c:crosses val="autoZero"/>
        <c:crossBetween val="midCat"/>
      </c:valAx>
      <c:valAx>
        <c:axId val="816632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Reservoir Storage (Ac-Ft)</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6629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Reservoir Release</a:t>
            </a:r>
          </a:p>
        </c:rich>
      </c:tx>
      <c:layout>
        <c:manualLayout>
          <c:xMode val="edge"/>
          <c:yMode val="edge"/>
          <c:x val="0.35242344706911644"/>
          <c:y val="6.01851851851851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strRef>
              <c:f>[2]X!$B$64:$B$123</c:f>
              <c:strCache>
                <c:ptCount val="60"/>
                <c:pt idx="0">
                  <c:v>M1</c:v>
                </c:pt>
                <c:pt idx="1">
                  <c:v>M2</c:v>
                </c:pt>
                <c:pt idx="2">
                  <c:v>M3</c:v>
                </c:pt>
                <c:pt idx="3">
                  <c:v>M4</c:v>
                </c:pt>
                <c:pt idx="4">
                  <c:v>M5</c:v>
                </c:pt>
                <c:pt idx="5">
                  <c:v>M6</c:v>
                </c:pt>
                <c:pt idx="6">
                  <c:v>M7</c:v>
                </c:pt>
                <c:pt idx="7">
                  <c:v>M8</c:v>
                </c:pt>
                <c:pt idx="8">
                  <c:v>M9</c:v>
                </c:pt>
                <c:pt idx="9">
                  <c:v>M10</c:v>
                </c:pt>
                <c:pt idx="10">
                  <c:v>M11</c:v>
                </c:pt>
                <c:pt idx="11">
                  <c:v>M12</c:v>
                </c:pt>
                <c:pt idx="12">
                  <c:v>M13</c:v>
                </c:pt>
                <c:pt idx="13">
                  <c:v>M14</c:v>
                </c:pt>
                <c:pt idx="14">
                  <c:v>M15</c:v>
                </c:pt>
                <c:pt idx="15">
                  <c:v>M16</c:v>
                </c:pt>
                <c:pt idx="16">
                  <c:v>M17</c:v>
                </c:pt>
                <c:pt idx="17">
                  <c:v>M18</c:v>
                </c:pt>
                <c:pt idx="18">
                  <c:v>M19</c:v>
                </c:pt>
                <c:pt idx="19">
                  <c:v>M20</c:v>
                </c:pt>
                <c:pt idx="20">
                  <c:v>M21</c:v>
                </c:pt>
                <c:pt idx="21">
                  <c:v>M22</c:v>
                </c:pt>
                <c:pt idx="22">
                  <c:v>M23</c:v>
                </c:pt>
                <c:pt idx="23">
                  <c:v>M24</c:v>
                </c:pt>
                <c:pt idx="24">
                  <c:v>M25</c:v>
                </c:pt>
                <c:pt idx="25">
                  <c:v>M26</c:v>
                </c:pt>
                <c:pt idx="26">
                  <c:v>M27</c:v>
                </c:pt>
                <c:pt idx="27">
                  <c:v>M28</c:v>
                </c:pt>
                <c:pt idx="28">
                  <c:v>M29</c:v>
                </c:pt>
                <c:pt idx="29">
                  <c:v>M30</c:v>
                </c:pt>
                <c:pt idx="30">
                  <c:v>M31</c:v>
                </c:pt>
                <c:pt idx="31">
                  <c:v>M32</c:v>
                </c:pt>
                <c:pt idx="32">
                  <c:v>M33</c:v>
                </c:pt>
                <c:pt idx="33">
                  <c:v>M34</c:v>
                </c:pt>
                <c:pt idx="34">
                  <c:v>M35</c:v>
                </c:pt>
                <c:pt idx="35">
                  <c:v>M36</c:v>
                </c:pt>
                <c:pt idx="36">
                  <c:v>M37</c:v>
                </c:pt>
                <c:pt idx="37">
                  <c:v>M38</c:v>
                </c:pt>
                <c:pt idx="38">
                  <c:v>M39</c:v>
                </c:pt>
                <c:pt idx="39">
                  <c:v>M40</c:v>
                </c:pt>
                <c:pt idx="40">
                  <c:v>M41</c:v>
                </c:pt>
                <c:pt idx="41">
                  <c:v>M42</c:v>
                </c:pt>
                <c:pt idx="42">
                  <c:v>M43</c:v>
                </c:pt>
                <c:pt idx="43">
                  <c:v>M44</c:v>
                </c:pt>
                <c:pt idx="44">
                  <c:v>M45</c:v>
                </c:pt>
                <c:pt idx="45">
                  <c:v>M46</c:v>
                </c:pt>
                <c:pt idx="46">
                  <c:v>M47</c:v>
                </c:pt>
                <c:pt idx="47">
                  <c:v>M48</c:v>
                </c:pt>
                <c:pt idx="48">
                  <c:v>M49</c:v>
                </c:pt>
                <c:pt idx="49">
                  <c:v>M50</c:v>
                </c:pt>
                <c:pt idx="50">
                  <c:v>M51</c:v>
                </c:pt>
                <c:pt idx="51">
                  <c:v>M52</c:v>
                </c:pt>
                <c:pt idx="52">
                  <c:v>M53</c:v>
                </c:pt>
                <c:pt idx="53">
                  <c:v>M54</c:v>
                </c:pt>
                <c:pt idx="54">
                  <c:v>M55</c:v>
                </c:pt>
                <c:pt idx="55">
                  <c:v>M56</c:v>
                </c:pt>
                <c:pt idx="56">
                  <c:v>M57</c:v>
                </c:pt>
                <c:pt idx="57">
                  <c:v>M58</c:v>
                </c:pt>
                <c:pt idx="58">
                  <c:v>M59</c:v>
                </c:pt>
                <c:pt idx="59">
                  <c:v>M60</c:v>
                </c:pt>
              </c:strCache>
            </c:strRef>
          </c:xVal>
          <c:yVal>
            <c:numRef>
              <c:f>[2]X!$C$64:$C$123</c:f>
              <c:numCache>
                <c:formatCode>General</c:formatCode>
                <c:ptCount val="60"/>
                <c:pt idx="0">
                  <c:v>110062.80989999999</c:v>
                </c:pt>
                <c:pt idx="1">
                  <c:v>108932.2314</c:v>
                </c:pt>
                <c:pt idx="2">
                  <c:v>50745.123970000001</c:v>
                </c:pt>
                <c:pt idx="3">
                  <c:v>49731.570249999997</c:v>
                </c:pt>
                <c:pt idx="4">
                  <c:v>51806.280989999999</c:v>
                </c:pt>
                <c:pt idx="5">
                  <c:v>473652.89</c:v>
                </c:pt>
                <c:pt idx="6">
                  <c:v>98380.165290000004</c:v>
                </c:pt>
                <c:pt idx="7">
                  <c:v>108694.21490000001</c:v>
                </c:pt>
                <c:pt idx="8">
                  <c:v>98433.719010000001</c:v>
                </c:pt>
                <c:pt idx="9">
                  <c:v>63808.264459999999</c:v>
                </c:pt>
                <c:pt idx="10">
                  <c:v>77208.59504</c:v>
                </c:pt>
                <c:pt idx="11">
                  <c:v>105988.76029999999</c:v>
                </c:pt>
                <c:pt idx="12">
                  <c:v>110062.80989999999</c:v>
                </c:pt>
                <c:pt idx="13">
                  <c:v>108932.2314</c:v>
                </c:pt>
                <c:pt idx="14">
                  <c:v>50745.123970000001</c:v>
                </c:pt>
                <c:pt idx="15">
                  <c:v>49731.570249999997</c:v>
                </c:pt>
                <c:pt idx="16">
                  <c:v>51806.280989999999</c:v>
                </c:pt>
                <c:pt idx="17">
                  <c:v>473652.89</c:v>
                </c:pt>
                <c:pt idx="18">
                  <c:v>98380.165290000004</c:v>
                </c:pt>
                <c:pt idx="19">
                  <c:v>108694.21490000001</c:v>
                </c:pt>
                <c:pt idx="20">
                  <c:v>98433.719010000001</c:v>
                </c:pt>
                <c:pt idx="21">
                  <c:v>63808.264459999999</c:v>
                </c:pt>
                <c:pt idx="22">
                  <c:v>77208.59504</c:v>
                </c:pt>
                <c:pt idx="23">
                  <c:v>105988.76029999999</c:v>
                </c:pt>
                <c:pt idx="24">
                  <c:v>110062.80989999999</c:v>
                </c:pt>
                <c:pt idx="25">
                  <c:v>108932.2314</c:v>
                </c:pt>
                <c:pt idx="26">
                  <c:v>50745.123970000001</c:v>
                </c:pt>
                <c:pt idx="27">
                  <c:v>49731.570249999997</c:v>
                </c:pt>
                <c:pt idx="28">
                  <c:v>51806.280989999999</c:v>
                </c:pt>
                <c:pt idx="29">
                  <c:v>473652.89</c:v>
                </c:pt>
                <c:pt idx="30">
                  <c:v>98380.165290000004</c:v>
                </c:pt>
                <c:pt idx="31">
                  <c:v>108694.21490000001</c:v>
                </c:pt>
                <c:pt idx="32">
                  <c:v>98433.719010000001</c:v>
                </c:pt>
                <c:pt idx="33">
                  <c:v>63808.264459999999</c:v>
                </c:pt>
                <c:pt idx="34">
                  <c:v>77208.59504</c:v>
                </c:pt>
                <c:pt idx="35">
                  <c:v>105988.76029999999</c:v>
                </c:pt>
                <c:pt idx="36">
                  <c:v>110062.80989999999</c:v>
                </c:pt>
                <c:pt idx="37">
                  <c:v>108932.2314</c:v>
                </c:pt>
                <c:pt idx="38">
                  <c:v>50745.123970000001</c:v>
                </c:pt>
                <c:pt idx="39">
                  <c:v>49731.570249999997</c:v>
                </c:pt>
                <c:pt idx="40">
                  <c:v>51806.280989999999</c:v>
                </c:pt>
                <c:pt idx="41">
                  <c:v>473652.89</c:v>
                </c:pt>
                <c:pt idx="42">
                  <c:v>98380.165290000004</c:v>
                </c:pt>
                <c:pt idx="43">
                  <c:v>108694.21490000001</c:v>
                </c:pt>
                <c:pt idx="44">
                  <c:v>98433.719010000001</c:v>
                </c:pt>
                <c:pt idx="45">
                  <c:v>63808.264459999999</c:v>
                </c:pt>
                <c:pt idx="46">
                  <c:v>77208.59504</c:v>
                </c:pt>
                <c:pt idx="47">
                  <c:v>105988.76029999999</c:v>
                </c:pt>
                <c:pt idx="48">
                  <c:v>110062.80989999999</c:v>
                </c:pt>
                <c:pt idx="49">
                  <c:v>108932.2314</c:v>
                </c:pt>
                <c:pt idx="50">
                  <c:v>50745.123970000001</c:v>
                </c:pt>
                <c:pt idx="51">
                  <c:v>49731.570249999997</c:v>
                </c:pt>
                <c:pt idx="52">
                  <c:v>51806.280989999999</c:v>
                </c:pt>
                <c:pt idx="53">
                  <c:v>473652.89</c:v>
                </c:pt>
                <c:pt idx="54">
                  <c:v>98380.165290000004</c:v>
                </c:pt>
                <c:pt idx="55">
                  <c:v>108694.21490000001</c:v>
                </c:pt>
                <c:pt idx="56">
                  <c:v>98433.719010000001</c:v>
                </c:pt>
                <c:pt idx="57">
                  <c:v>63808.264459999999</c:v>
                </c:pt>
                <c:pt idx="58">
                  <c:v>77208.59504</c:v>
                </c:pt>
                <c:pt idx="59">
                  <c:v>105988.76029999999</c:v>
                </c:pt>
              </c:numCache>
            </c:numRef>
          </c:yVal>
          <c:smooth val="1"/>
          <c:extLst>
            <c:ext xmlns:c16="http://schemas.microsoft.com/office/drawing/2014/chart" uri="{C3380CC4-5D6E-409C-BE32-E72D297353CC}">
              <c16:uniqueId val="{00000000-996F-4291-8F2A-0C4D11C425BF}"/>
            </c:ext>
          </c:extLst>
        </c:ser>
        <c:dLbls>
          <c:showLegendKey val="0"/>
          <c:showVal val="0"/>
          <c:showCatName val="0"/>
          <c:showSerName val="0"/>
          <c:showPercent val="0"/>
          <c:showBubbleSize val="0"/>
        </c:dLbls>
        <c:axId val="816629568"/>
        <c:axId val="816632480"/>
      </c:scatterChart>
      <c:valAx>
        <c:axId val="816629568"/>
        <c:scaling>
          <c:orientation val="minMax"/>
          <c:max val="6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6632480"/>
        <c:crosses val="autoZero"/>
        <c:crossBetween val="midCat"/>
      </c:valAx>
      <c:valAx>
        <c:axId val="816632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Monthly Releases (Ac-Ft)</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6629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strRef>
              <c:f>[3]X!$B$4:$B$63</c:f>
              <c:strCache>
                <c:ptCount val="60"/>
                <c:pt idx="0">
                  <c:v>M1</c:v>
                </c:pt>
                <c:pt idx="1">
                  <c:v>M2</c:v>
                </c:pt>
                <c:pt idx="2">
                  <c:v>M3</c:v>
                </c:pt>
                <c:pt idx="3">
                  <c:v>M4</c:v>
                </c:pt>
                <c:pt idx="4">
                  <c:v>M5</c:v>
                </c:pt>
                <c:pt idx="5">
                  <c:v>M6</c:v>
                </c:pt>
                <c:pt idx="6">
                  <c:v>M7</c:v>
                </c:pt>
                <c:pt idx="7">
                  <c:v>M8</c:v>
                </c:pt>
                <c:pt idx="8">
                  <c:v>M9</c:v>
                </c:pt>
                <c:pt idx="9">
                  <c:v>M10</c:v>
                </c:pt>
                <c:pt idx="10">
                  <c:v>M11</c:v>
                </c:pt>
                <c:pt idx="11">
                  <c:v>M12</c:v>
                </c:pt>
                <c:pt idx="12">
                  <c:v>M13</c:v>
                </c:pt>
                <c:pt idx="13">
                  <c:v>M14</c:v>
                </c:pt>
                <c:pt idx="14">
                  <c:v>M15</c:v>
                </c:pt>
                <c:pt idx="15">
                  <c:v>M16</c:v>
                </c:pt>
                <c:pt idx="16">
                  <c:v>M17</c:v>
                </c:pt>
                <c:pt idx="17">
                  <c:v>M18</c:v>
                </c:pt>
                <c:pt idx="18">
                  <c:v>M19</c:v>
                </c:pt>
                <c:pt idx="19">
                  <c:v>M20</c:v>
                </c:pt>
                <c:pt idx="20">
                  <c:v>M21</c:v>
                </c:pt>
                <c:pt idx="21">
                  <c:v>M22</c:v>
                </c:pt>
                <c:pt idx="22">
                  <c:v>M23</c:v>
                </c:pt>
                <c:pt idx="23">
                  <c:v>M24</c:v>
                </c:pt>
                <c:pt idx="24">
                  <c:v>M25</c:v>
                </c:pt>
                <c:pt idx="25">
                  <c:v>M26</c:v>
                </c:pt>
                <c:pt idx="26">
                  <c:v>M27</c:v>
                </c:pt>
                <c:pt idx="27">
                  <c:v>M28</c:v>
                </c:pt>
                <c:pt idx="28">
                  <c:v>M29</c:v>
                </c:pt>
                <c:pt idx="29">
                  <c:v>M30</c:v>
                </c:pt>
                <c:pt idx="30">
                  <c:v>M31</c:v>
                </c:pt>
                <c:pt idx="31">
                  <c:v>M32</c:v>
                </c:pt>
                <c:pt idx="32">
                  <c:v>M33</c:v>
                </c:pt>
                <c:pt idx="33">
                  <c:v>M34</c:v>
                </c:pt>
                <c:pt idx="34">
                  <c:v>M35</c:v>
                </c:pt>
                <c:pt idx="35">
                  <c:v>M36</c:v>
                </c:pt>
                <c:pt idx="36">
                  <c:v>M37</c:v>
                </c:pt>
                <c:pt idx="37">
                  <c:v>M38</c:v>
                </c:pt>
                <c:pt idx="38">
                  <c:v>M39</c:v>
                </c:pt>
                <c:pt idx="39">
                  <c:v>M40</c:v>
                </c:pt>
                <c:pt idx="40">
                  <c:v>M41</c:v>
                </c:pt>
                <c:pt idx="41">
                  <c:v>M42</c:v>
                </c:pt>
                <c:pt idx="42">
                  <c:v>M43</c:v>
                </c:pt>
                <c:pt idx="43">
                  <c:v>M44</c:v>
                </c:pt>
                <c:pt idx="44">
                  <c:v>M45</c:v>
                </c:pt>
                <c:pt idx="45">
                  <c:v>M46</c:v>
                </c:pt>
                <c:pt idx="46">
                  <c:v>M47</c:v>
                </c:pt>
                <c:pt idx="47">
                  <c:v>M48</c:v>
                </c:pt>
                <c:pt idx="48">
                  <c:v>M49</c:v>
                </c:pt>
                <c:pt idx="49">
                  <c:v>M50</c:v>
                </c:pt>
                <c:pt idx="50">
                  <c:v>M51</c:v>
                </c:pt>
                <c:pt idx="51">
                  <c:v>M52</c:v>
                </c:pt>
                <c:pt idx="52">
                  <c:v>M53</c:v>
                </c:pt>
                <c:pt idx="53">
                  <c:v>M54</c:v>
                </c:pt>
                <c:pt idx="54">
                  <c:v>M55</c:v>
                </c:pt>
                <c:pt idx="55">
                  <c:v>M56</c:v>
                </c:pt>
                <c:pt idx="56">
                  <c:v>M57</c:v>
                </c:pt>
                <c:pt idx="57">
                  <c:v>M58</c:v>
                </c:pt>
                <c:pt idx="58">
                  <c:v>M59</c:v>
                </c:pt>
                <c:pt idx="59">
                  <c:v>M60</c:v>
                </c:pt>
              </c:strCache>
            </c:strRef>
          </c:xVal>
          <c:yVal>
            <c:numRef>
              <c:f>[3]X!$C$4:$C$63</c:f>
              <c:numCache>
                <c:formatCode>General</c:formatCode>
                <c:ptCount val="60"/>
                <c:pt idx="0">
                  <c:v>2617726.5000999998</c:v>
                </c:pt>
                <c:pt idx="1">
                  <c:v>2617726.4986999999</c:v>
                </c:pt>
                <c:pt idx="2">
                  <c:v>2617726.4947299999</c:v>
                </c:pt>
                <c:pt idx="3">
                  <c:v>2617726.4944799999</c:v>
                </c:pt>
                <c:pt idx="4">
                  <c:v>2617726.4934899998</c:v>
                </c:pt>
                <c:pt idx="5">
                  <c:v>2268734.7634899998</c:v>
                </c:pt>
                <c:pt idx="6">
                  <c:v>2260063.0281999996</c:v>
                </c:pt>
                <c:pt idx="7">
                  <c:v>2260063.0232999995</c:v>
                </c:pt>
                <c:pt idx="8">
                  <c:v>2260063.0242899996</c:v>
                </c:pt>
                <c:pt idx="9">
                  <c:v>1976411.4020400003</c:v>
                </c:pt>
                <c:pt idx="10">
                  <c:v>1976411.4070000004</c:v>
                </c:pt>
                <c:pt idx="11">
                  <c:v>1976411.4067000004</c:v>
                </c:pt>
                <c:pt idx="12">
                  <c:v>1976411.4068000005</c:v>
                </c:pt>
                <c:pt idx="13">
                  <c:v>1976411.4054000005</c:v>
                </c:pt>
                <c:pt idx="14">
                  <c:v>1976411.4014300006</c:v>
                </c:pt>
                <c:pt idx="15">
                  <c:v>1976411.4011800005</c:v>
                </c:pt>
                <c:pt idx="16">
                  <c:v>1976411.4001900004</c:v>
                </c:pt>
                <c:pt idx="17">
                  <c:v>1627419.6701900002</c:v>
                </c:pt>
                <c:pt idx="18">
                  <c:v>1618747.9349000002</c:v>
                </c:pt>
                <c:pt idx="19">
                  <c:v>1618747.9300000002</c:v>
                </c:pt>
                <c:pt idx="20">
                  <c:v>1618747.93099</c:v>
                </c:pt>
                <c:pt idx="21">
                  <c:v>1618747.9265300001</c:v>
                </c:pt>
                <c:pt idx="22">
                  <c:v>1618747.9314900001</c:v>
                </c:pt>
                <c:pt idx="23">
                  <c:v>1618747.9311900001</c:v>
                </c:pt>
                <c:pt idx="24">
                  <c:v>1618747.9312900002</c:v>
                </c:pt>
                <c:pt idx="25">
                  <c:v>1618747.9298900003</c:v>
                </c:pt>
                <c:pt idx="26">
                  <c:v>1618747.9259200003</c:v>
                </c:pt>
                <c:pt idx="27">
                  <c:v>1618747.9256700003</c:v>
                </c:pt>
                <c:pt idx="28">
                  <c:v>1618747.9246800002</c:v>
                </c:pt>
                <c:pt idx="29">
                  <c:v>1269756.19468</c:v>
                </c:pt>
                <c:pt idx="30">
                  <c:v>1261084.45939</c:v>
                </c:pt>
                <c:pt idx="31">
                  <c:v>1261084.4544899999</c:v>
                </c:pt>
                <c:pt idx="32">
                  <c:v>1261084.4554799998</c:v>
                </c:pt>
                <c:pt idx="33">
                  <c:v>1261084.4510199998</c:v>
                </c:pt>
                <c:pt idx="34">
                  <c:v>1261084.4559799999</c:v>
                </c:pt>
                <c:pt idx="35">
                  <c:v>1261084.4556799999</c:v>
                </c:pt>
                <c:pt idx="36">
                  <c:v>1261084.45578</c:v>
                </c:pt>
                <c:pt idx="37">
                  <c:v>1261084.45438</c:v>
                </c:pt>
                <c:pt idx="38">
                  <c:v>1261084.45041</c:v>
                </c:pt>
                <c:pt idx="39">
                  <c:v>1261084.45016</c:v>
                </c:pt>
                <c:pt idx="40">
                  <c:v>1261084.4491699999</c:v>
                </c:pt>
                <c:pt idx="41">
                  <c:v>912092.71917000005</c:v>
                </c:pt>
                <c:pt idx="42">
                  <c:v>903420.98387999996</c:v>
                </c:pt>
                <c:pt idx="43">
                  <c:v>903420.9789799999</c:v>
                </c:pt>
                <c:pt idx="44">
                  <c:v>903420.97996999987</c:v>
                </c:pt>
                <c:pt idx="45">
                  <c:v>903420.9755099999</c:v>
                </c:pt>
                <c:pt idx="46">
                  <c:v>903420.98046999983</c:v>
                </c:pt>
                <c:pt idx="47">
                  <c:v>903420.98016999988</c:v>
                </c:pt>
                <c:pt idx="48">
                  <c:v>903420.98026999994</c:v>
                </c:pt>
                <c:pt idx="49">
                  <c:v>903420.97886999988</c:v>
                </c:pt>
                <c:pt idx="50">
                  <c:v>903420.97489999991</c:v>
                </c:pt>
                <c:pt idx="51">
                  <c:v>903420.97464999987</c:v>
                </c:pt>
                <c:pt idx="52">
                  <c:v>903420.9736599999</c:v>
                </c:pt>
                <c:pt idx="53">
                  <c:v>554429.24365999992</c:v>
                </c:pt>
                <c:pt idx="54">
                  <c:v>545757.50836999994</c:v>
                </c:pt>
                <c:pt idx="55">
                  <c:v>545757.50347</c:v>
                </c:pt>
                <c:pt idx="56">
                  <c:v>545757.50445999997</c:v>
                </c:pt>
                <c:pt idx="57">
                  <c:v>545757.5</c:v>
                </c:pt>
                <c:pt idx="58">
                  <c:v>545757.50495999993</c:v>
                </c:pt>
                <c:pt idx="59">
                  <c:v>545757.50465999998</c:v>
                </c:pt>
              </c:numCache>
            </c:numRef>
          </c:yVal>
          <c:smooth val="1"/>
          <c:extLst>
            <c:ext xmlns:c16="http://schemas.microsoft.com/office/drawing/2014/chart" uri="{C3380CC4-5D6E-409C-BE32-E72D297353CC}">
              <c16:uniqueId val="{00000000-7E24-4F10-8BC1-AB3DE7D42C34}"/>
            </c:ext>
          </c:extLst>
        </c:ser>
        <c:dLbls>
          <c:showLegendKey val="0"/>
          <c:showVal val="0"/>
          <c:showCatName val="0"/>
          <c:showSerName val="0"/>
          <c:showPercent val="0"/>
          <c:showBubbleSize val="0"/>
        </c:dLbls>
        <c:axId val="1284710160"/>
        <c:axId val="1284714736"/>
      </c:scatterChart>
      <c:valAx>
        <c:axId val="128471016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714736"/>
        <c:crosses val="autoZero"/>
        <c:crossBetween val="midCat"/>
      </c:valAx>
      <c:valAx>
        <c:axId val="1284714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7101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strRef>
              <c:f>[3]X!$B$64:$B$123</c:f>
              <c:strCache>
                <c:ptCount val="60"/>
                <c:pt idx="0">
                  <c:v>M1</c:v>
                </c:pt>
                <c:pt idx="1">
                  <c:v>M2</c:v>
                </c:pt>
                <c:pt idx="2">
                  <c:v>M3</c:v>
                </c:pt>
                <c:pt idx="3">
                  <c:v>M4</c:v>
                </c:pt>
                <c:pt idx="4">
                  <c:v>M5</c:v>
                </c:pt>
                <c:pt idx="5">
                  <c:v>M6</c:v>
                </c:pt>
                <c:pt idx="6">
                  <c:v>M7</c:v>
                </c:pt>
                <c:pt idx="7">
                  <c:v>M8</c:v>
                </c:pt>
                <c:pt idx="8">
                  <c:v>M9</c:v>
                </c:pt>
                <c:pt idx="9">
                  <c:v>M10</c:v>
                </c:pt>
                <c:pt idx="10">
                  <c:v>M11</c:v>
                </c:pt>
                <c:pt idx="11">
                  <c:v>M12</c:v>
                </c:pt>
                <c:pt idx="12">
                  <c:v>M13</c:v>
                </c:pt>
                <c:pt idx="13">
                  <c:v>M14</c:v>
                </c:pt>
                <c:pt idx="14">
                  <c:v>M15</c:v>
                </c:pt>
                <c:pt idx="15">
                  <c:v>M16</c:v>
                </c:pt>
                <c:pt idx="16">
                  <c:v>M17</c:v>
                </c:pt>
                <c:pt idx="17">
                  <c:v>M18</c:v>
                </c:pt>
                <c:pt idx="18">
                  <c:v>M19</c:v>
                </c:pt>
                <c:pt idx="19">
                  <c:v>M20</c:v>
                </c:pt>
                <c:pt idx="20">
                  <c:v>M21</c:v>
                </c:pt>
                <c:pt idx="21">
                  <c:v>M22</c:v>
                </c:pt>
                <c:pt idx="22">
                  <c:v>M23</c:v>
                </c:pt>
                <c:pt idx="23">
                  <c:v>M24</c:v>
                </c:pt>
                <c:pt idx="24">
                  <c:v>M25</c:v>
                </c:pt>
                <c:pt idx="25">
                  <c:v>M26</c:v>
                </c:pt>
                <c:pt idx="26">
                  <c:v>M27</c:v>
                </c:pt>
                <c:pt idx="27">
                  <c:v>M28</c:v>
                </c:pt>
                <c:pt idx="28">
                  <c:v>M29</c:v>
                </c:pt>
                <c:pt idx="29">
                  <c:v>M30</c:v>
                </c:pt>
                <c:pt idx="30">
                  <c:v>M31</c:v>
                </c:pt>
                <c:pt idx="31">
                  <c:v>M32</c:v>
                </c:pt>
                <c:pt idx="32">
                  <c:v>M33</c:v>
                </c:pt>
                <c:pt idx="33">
                  <c:v>M34</c:v>
                </c:pt>
                <c:pt idx="34">
                  <c:v>M35</c:v>
                </c:pt>
                <c:pt idx="35">
                  <c:v>M36</c:v>
                </c:pt>
                <c:pt idx="36">
                  <c:v>M37</c:v>
                </c:pt>
                <c:pt idx="37">
                  <c:v>M38</c:v>
                </c:pt>
                <c:pt idx="38">
                  <c:v>M39</c:v>
                </c:pt>
                <c:pt idx="39">
                  <c:v>M40</c:v>
                </c:pt>
                <c:pt idx="40">
                  <c:v>M41</c:v>
                </c:pt>
                <c:pt idx="41">
                  <c:v>M42</c:v>
                </c:pt>
                <c:pt idx="42">
                  <c:v>M43</c:v>
                </c:pt>
                <c:pt idx="43">
                  <c:v>M44</c:v>
                </c:pt>
                <c:pt idx="44">
                  <c:v>M45</c:v>
                </c:pt>
                <c:pt idx="45">
                  <c:v>M46</c:v>
                </c:pt>
                <c:pt idx="46">
                  <c:v>M47</c:v>
                </c:pt>
                <c:pt idx="47">
                  <c:v>M48</c:v>
                </c:pt>
                <c:pt idx="48">
                  <c:v>M49</c:v>
                </c:pt>
                <c:pt idx="49">
                  <c:v>M50</c:v>
                </c:pt>
                <c:pt idx="50">
                  <c:v>M51</c:v>
                </c:pt>
                <c:pt idx="51">
                  <c:v>M52</c:v>
                </c:pt>
                <c:pt idx="52">
                  <c:v>M53</c:v>
                </c:pt>
                <c:pt idx="53">
                  <c:v>M54</c:v>
                </c:pt>
                <c:pt idx="54">
                  <c:v>M55</c:v>
                </c:pt>
                <c:pt idx="55">
                  <c:v>M56</c:v>
                </c:pt>
                <c:pt idx="56">
                  <c:v>M57</c:v>
                </c:pt>
                <c:pt idx="57">
                  <c:v>M58</c:v>
                </c:pt>
                <c:pt idx="58">
                  <c:v>M59</c:v>
                </c:pt>
                <c:pt idx="59">
                  <c:v>M60</c:v>
                </c:pt>
              </c:strCache>
            </c:strRef>
          </c:xVal>
          <c:yVal>
            <c:numRef>
              <c:f>[3]X!$C$64:$C$123</c:f>
              <c:numCache>
                <c:formatCode>General</c:formatCode>
                <c:ptCount val="60"/>
                <c:pt idx="0">
                  <c:v>110062.80989999999</c:v>
                </c:pt>
                <c:pt idx="1">
                  <c:v>108932.2314</c:v>
                </c:pt>
                <c:pt idx="2">
                  <c:v>50745.123970000001</c:v>
                </c:pt>
                <c:pt idx="3">
                  <c:v>49731.570249999997</c:v>
                </c:pt>
                <c:pt idx="4">
                  <c:v>51806.280989999999</c:v>
                </c:pt>
                <c:pt idx="5">
                  <c:v>473652.89</c:v>
                </c:pt>
                <c:pt idx="6">
                  <c:v>98380.165290000004</c:v>
                </c:pt>
                <c:pt idx="7">
                  <c:v>108694.21490000001</c:v>
                </c:pt>
                <c:pt idx="8">
                  <c:v>98433.719010000001</c:v>
                </c:pt>
                <c:pt idx="9">
                  <c:v>347459.88224999933</c:v>
                </c:pt>
                <c:pt idx="10">
                  <c:v>77208.59504</c:v>
                </c:pt>
                <c:pt idx="11">
                  <c:v>105988.76029999999</c:v>
                </c:pt>
                <c:pt idx="12">
                  <c:v>110062.80989999999</c:v>
                </c:pt>
                <c:pt idx="13">
                  <c:v>108932.2314</c:v>
                </c:pt>
                <c:pt idx="14">
                  <c:v>50745.123970000001</c:v>
                </c:pt>
                <c:pt idx="15">
                  <c:v>49731.570249999997</c:v>
                </c:pt>
                <c:pt idx="16">
                  <c:v>51806.280989999999</c:v>
                </c:pt>
                <c:pt idx="17">
                  <c:v>473652.89</c:v>
                </c:pt>
                <c:pt idx="18">
                  <c:v>98380.165290000004</c:v>
                </c:pt>
                <c:pt idx="19">
                  <c:v>108694.21490000001</c:v>
                </c:pt>
                <c:pt idx="20">
                  <c:v>98433.719010000001</c:v>
                </c:pt>
                <c:pt idx="21">
                  <c:v>63808.264459999999</c:v>
                </c:pt>
                <c:pt idx="22">
                  <c:v>77208.59504</c:v>
                </c:pt>
                <c:pt idx="23">
                  <c:v>105988.76029999999</c:v>
                </c:pt>
                <c:pt idx="24">
                  <c:v>110062.80989999999</c:v>
                </c:pt>
                <c:pt idx="25">
                  <c:v>108932.2314</c:v>
                </c:pt>
                <c:pt idx="26">
                  <c:v>50745.123970000001</c:v>
                </c:pt>
                <c:pt idx="27">
                  <c:v>49731.570249999997</c:v>
                </c:pt>
                <c:pt idx="28">
                  <c:v>51806.280989999999</c:v>
                </c:pt>
                <c:pt idx="29">
                  <c:v>473652.89</c:v>
                </c:pt>
                <c:pt idx="30">
                  <c:v>98380.165290000004</c:v>
                </c:pt>
                <c:pt idx="31">
                  <c:v>108694.21490000001</c:v>
                </c:pt>
                <c:pt idx="32">
                  <c:v>98433.719010000001</c:v>
                </c:pt>
                <c:pt idx="33">
                  <c:v>63808.264459999999</c:v>
                </c:pt>
                <c:pt idx="34">
                  <c:v>77208.59504</c:v>
                </c:pt>
                <c:pt idx="35">
                  <c:v>105988.76029999999</c:v>
                </c:pt>
                <c:pt idx="36">
                  <c:v>110062.80989999999</c:v>
                </c:pt>
                <c:pt idx="37">
                  <c:v>108932.2314</c:v>
                </c:pt>
                <c:pt idx="38">
                  <c:v>50745.123970000001</c:v>
                </c:pt>
                <c:pt idx="39">
                  <c:v>49731.570249999997</c:v>
                </c:pt>
                <c:pt idx="40">
                  <c:v>51806.280989999999</c:v>
                </c:pt>
                <c:pt idx="41">
                  <c:v>473652.89</c:v>
                </c:pt>
                <c:pt idx="42">
                  <c:v>98380.165290000004</c:v>
                </c:pt>
                <c:pt idx="43">
                  <c:v>108694.21490000001</c:v>
                </c:pt>
                <c:pt idx="44">
                  <c:v>98433.719010000001</c:v>
                </c:pt>
                <c:pt idx="45">
                  <c:v>63808.264459999999</c:v>
                </c:pt>
                <c:pt idx="46">
                  <c:v>77208.59504</c:v>
                </c:pt>
                <c:pt idx="47">
                  <c:v>105988.76029999999</c:v>
                </c:pt>
                <c:pt idx="48">
                  <c:v>110062.80989999999</c:v>
                </c:pt>
                <c:pt idx="49">
                  <c:v>108932.2314</c:v>
                </c:pt>
                <c:pt idx="50">
                  <c:v>50745.123970000001</c:v>
                </c:pt>
                <c:pt idx="51">
                  <c:v>49731.570249999997</c:v>
                </c:pt>
                <c:pt idx="52">
                  <c:v>51806.280989999999</c:v>
                </c:pt>
                <c:pt idx="53">
                  <c:v>473652.89</c:v>
                </c:pt>
                <c:pt idx="54">
                  <c:v>98380.165290000004</c:v>
                </c:pt>
                <c:pt idx="55">
                  <c:v>108694.21490000001</c:v>
                </c:pt>
                <c:pt idx="56">
                  <c:v>98433.719010000001</c:v>
                </c:pt>
                <c:pt idx="57">
                  <c:v>63808.264459999999</c:v>
                </c:pt>
                <c:pt idx="58">
                  <c:v>77208.59504</c:v>
                </c:pt>
                <c:pt idx="59">
                  <c:v>105988.76029999999</c:v>
                </c:pt>
              </c:numCache>
            </c:numRef>
          </c:yVal>
          <c:smooth val="1"/>
          <c:extLst>
            <c:ext xmlns:c16="http://schemas.microsoft.com/office/drawing/2014/chart" uri="{C3380CC4-5D6E-409C-BE32-E72D297353CC}">
              <c16:uniqueId val="{00000000-9AA2-46CE-8A07-AC1CEF37549B}"/>
            </c:ext>
          </c:extLst>
        </c:ser>
        <c:dLbls>
          <c:showLegendKey val="0"/>
          <c:showVal val="0"/>
          <c:showCatName val="0"/>
          <c:showSerName val="0"/>
          <c:showPercent val="0"/>
          <c:showBubbleSize val="0"/>
        </c:dLbls>
        <c:axId val="1292094912"/>
        <c:axId val="1292089504"/>
      </c:scatterChart>
      <c:valAx>
        <c:axId val="1292094912"/>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089504"/>
        <c:crosses val="autoZero"/>
        <c:crossBetween val="midCat"/>
      </c:valAx>
      <c:valAx>
        <c:axId val="1292089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0949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2013</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896826921025114"/>
          <c:y val="0.17611585944919278"/>
          <c:w val="0.76886370910953206"/>
          <c:h val="0.54715847484876357"/>
        </c:manualLayout>
      </c:layout>
      <c:scatterChart>
        <c:scatterStyle val="smoothMarker"/>
        <c:varyColors val="0"/>
        <c:ser>
          <c:idx val="0"/>
          <c:order val="0"/>
          <c:tx>
            <c:strRef>
              <c:f>WaterYears!$I$1</c:f>
              <c:strCache>
                <c:ptCount val="1"/>
                <c:pt idx="0">
                  <c:v> F.G. Net Inflow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WaterYears!$F$2:$F$13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WaterYears!$I$2:$I$13</c:f>
              <c:numCache>
                <c:formatCode>_(* #,##0_);_(* \(#,##0\);_(* "-"??_);_(@_)</c:formatCode>
                <c:ptCount val="12"/>
                <c:pt idx="0">
                  <c:v>56101.487603305774</c:v>
                </c:pt>
                <c:pt idx="1">
                  <c:v>50285.553719008305</c:v>
                </c:pt>
                <c:pt idx="2">
                  <c:v>68200.462809917401</c:v>
                </c:pt>
                <c:pt idx="3">
                  <c:v>58146.446280991724</c:v>
                </c:pt>
                <c:pt idx="4">
                  <c:v>59602.611570247907</c:v>
                </c:pt>
                <c:pt idx="5">
                  <c:v>49897.408264462851</c:v>
                </c:pt>
                <c:pt idx="6">
                  <c:v>46196.370247933904</c:v>
                </c:pt>
                <c:pt idx="7">
                  <c:v>35829.203305785137</c:v>
                </c:pt>
                <c:pt idx="8">
                  <c:v>55236.376859504133</c:v>
                </c:pt>
                <c:pt idx="9">
                  <c:v>54509.851239669377</c:v>
                </c:pt>
                <c:pt idx="10">
                  <c:v>56352.396694214876</c:v>
                </c:pt>
                <c:pt idx="11">
                  <c:v>50711.008264462806</c:v>
                </c:pt>
              </c:numCache>
            </c:numRef>
          </c:yVal>
          <c:smooth val="1"/>
          <c:extLst>
            <c:ext xmlns:c16="http://schemas.microsoft.com/office/drawing/2014/chart" uri="{C3380CC4-5D6E-409C-BE32-E72D297353CC}">
              <c16:uniqueId val="{00000000-A9A1-4CDE-B07C-A9F22C8989C1}"/>
            </c:ext>
          </c:extLst>
        </c:ser>
        <c:ser>
          <c:idx val="1"/>
          <c:order val="1"/>
          <c:tx>
            <c:strRef>
              <c:f>WaterYears!$J$1</c:f>
              <c:strCache>
                <c:ptCount val="1"/>
                <c:pt idx="0">
                  <c:v> Yampa_Flow </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WaterYears!$F$2:$F$13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WaterYears!$J$2:$J$13</c:f>
              <c:numCache>
                <c:formatCode>_(* #,##0_);_(* \(#,##0\);_(* "-"??_);_(@_)</c:formatCode>
                <c:ptCount val="12"/>
                <c:pt idx="0">
                  <c:v>10998.347107438</c:v>
                </c:pt>
                <c:pt idx="1">
                  <c:v>11345.4545454545</c:v>
                </c:pt>
                <c:pt idx="2">
                  <c:v>23892.892561983499</c:v>
                </c:pt>
                <c:pt idx="3">
                  <c:v>85410.247933884297</c:v>
                </c:pt>
                <c:pt idx="4">
                  <c:v>389573.55371900799</c:v>
                </c:pt>
                <c:pt idx="5">
                  <c:v>198585.12396694199</c:v>
                </c:pt>
                <c:pt idx="6">
                  <c:v>19160.330578512399</c:v>
                </c:pt>
                <c:pt idx="7">
                  <c:v>9625.7851239669399</c:v>
                </c:pt>
                <c:pt idx="8">
                  <c:v>17789.7520661157</c:v>
                </c:pt>
                <c:pt idx="9">
                  <c:v>11502.1487603306</c:v>
                </c:pt>
                <c:pt idx="10">
                  <c:v>15968.925619834699</c:v>
                </c:pt>
                <c:pt idx="11">
                  <c:v>11252.826446281</c:v>
                </c:pt>
              </c:numCache>
            </c:numRef>
          </c:yVal>
          <c:smooth val="1"/>
          <c:extLst>
            <c:ext xmlns:c16="http://schemas.microsoft.com/office/drawing/2014/chart" uri="{C3380CC4-5D6E-409C-BE32-E72D297353CC}">
              <c16:uniqueId val="{00000001-A9A1-4CDE-B07C-A9F22C8989C1}"/>
            </c:ext>
          </c:extLst>
        </c:ser>
        <c:ser>
          <c:idx val="2"/>
          <c:order val="2"/>
          <c:tx>
            <c:strRef>
              <c:f>WaterYears!$K$1</c:f>
              <c:strCache>
                <c:ptCount val="1"/>
                <c:pt idx="0">
                  <c:v> GR At Jensen </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WaterYears!$F$2:$F$13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WaterYears!$K$2:$K$13</c:f>
              <c:numCache>
                <c:formatCode>_(* #,##0_);_(* \(#,##0\);_(* "-"??_);_(@_)</c:formatCode>
                <c:ptCount val="12"/>
                <c:pt idx="0">
                  <c:v>78684.297520661203</c:v>
                </c:pt>
                <c:pt idx="1">
                  <c:v>95444.628099173598</c:v>
                </c:pt>
                <c:pt idx="2">
                  <c:v>105480.991735537</c:v>
                </c:pt>
                <c:pt idx="3">
                  <c:v>149276.03305785099</c:v>
                </c:pt>
                <c:pt idx="4">
                  <c:v>439775.20661157003</c:v>
                </c:pt>
                <c:pt idx="5">
                  <c:v>365732.23140495899</c:v>
                </c:pt>
                <c:pt idx="6">
                  <c:v>99332.2314049587</c:v>
                </c:pt>
                <c:pt idx="7">
                  <c:v>87114.049586776906</c:v>
                </c:pt>
                <c:pt idx="8">
                  <c:v>95147.107438016494</c:v>
                </c:pt>
                <c:pt idx="9">
                  <c:v>70690.909090909103</c:v>
                </c:pt>
                <c:pt idx="10">
                  <c:v>74776.859504132197</c:v>
                </c:pt>
                <c:pt idx="11">
                  <c:v>82393.3884297521</c:v>
                </c:pt>
              </c:numCache>
            </c:numRef>
          </c:yVal>
          <c:smooth val="1"/>
          <c:extLst>
            <c:ext xmlns:c16="http://schemas.microsoft.com/office/drawing/2014/chart" uri="{C3380CC4-5D6E-409C-BE32-E72D297353CC}">
              <c16:uniqueId val="{00000002-A9A1-4CDE-B07C-A9F22C8989C1}"/>
            </c:ext>
          </c:extLst>
        </c:ser>
        <c:ser>
          <c:idx val="3"/>
          <c:order val="3"/>
          <c:tx>
            <c:strRef>
              <c:f>WaterYears!$L$1</c:f>
              <c:strCache>
                <c:ptCount val="1"/>
                <c:pt idx="0">
                  <c:v> FG Release </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WaterYears!$F$2:$F$13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WaterYears!$L$2:$L$13</c:f>
              <c:numCache>
                <c:formatCode>_(* #,##0_);_(* \(#,##0\);_(* "-"??_);_(@_)</c:formatCode>
                <c:ptCount val="12"/>
                <c:pt idx="0">
                  <c:v>67685.95041322321</c:v>
                </c:pt>
                <c:pt idx="1">
                  <c:v>84099.173553719098</c:v>
                </c:pt>
                <c:pt idx="2">
                  <c:v>81588.099173553492</c:v>
                </c:pt>
                <c:pt idx="3">
                  <c:v>63865.785123966692</c:v>
                </c:pt>
                <c:pt idx="4">
                  <c:v>50201.652892562037</c:v>
                </c:pt>
                <c:pt idx="5">
                  <c:v>167147.107438017</c:v>
                </c:pt>
                <c:pt idx="6">
                  <c:v>80171.900826446305</c:v>
                </c:pt>
                <c:pt idx="7">
                  <c:v>77488.264462809966</c:v>
                </c:pt>
                <c:pt idx="8">
                  <c:v>77357.35537190079</c:v>
                </c:pt>
                <c:pt idx="9">
                  <c:v>59188.760330578501</c:v>
                </c:pt>
                <c:pt idx="10">
                  <c:v>58807.933884297498</c:v>
                </c:pt>
                <c:pt idx="11">
                  <c:v>71140.561983471096</c:v>
                </c:pt>
              </c:numCache>
            </c:numRef>
          </c:yVal>
          <c:smooth val="1"/>
          <c:extLst>
            <c:ext xmlns:c16="http://schemas.microsoft.com/office/drawing/2014/chart" uri="{C3380CC4-5D6E-409C-BE32-E72D297353CC}">
              <c16:uniqueId val="{00000003-A9A1-4CDE-B07C-A9F22C8989C1}"/>
            </c:ext>
          </c:extLst>
        </c:ser>
        <c:dLbls>
          <c:showLegendKey val="0"/>
          <c:showVal val="0"/>
          <c:showCatName val="0"/>
          <c:showSerName val="0"/>
          <c:showPercent val="0"/>
          <c:showBubbleSize val="0"/>
        </c:dLbls>
        <c:axId val="525918271"/>
        <c:axId val="525892895"/>
      </c:scatterChart>
      <c:valAx>
        <c:axId val="525918271"/>
        <c:scaling>
          <c:orientation val="minMax"/>
          <c:max val="1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r>
                  <a:rPr lang="en-US" baseline="0"/>
                  <a:t> (1 = January)</a:t>
                </a:r>
                <a:endParaRPr lang="en-US"/>
              </a:p>
            </c:rich>
          </c:tx>
          <c:layout>
            <c:manualLayout>
              <c:xMode val="edge"/>
              <c:yMode val="edge"/>
              <c:x val="0.3631967650385165"/>
              <c:y val="0.8096858619168330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92895"/>
        <c:crosses val="autoZero"/>
        <c:crossBetween val="midCat"/>
        <c:majorUnit val="1"/>
      </c:valAx>
      <c:valAx>
        <c:axId val="525892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a:t>
                </a:r>
                <a:r>
                  <a:rPr lang="en-US" baseline="0"/>
                  <a:t> Monthly Flow Volume (Ac-Ft)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18271"/>
        <c:crosses val="autoZero"/>
        <c:crossBetween val="midCat"/>
      </c:valAx>
      <c:spPr>
        <a:noFill/>
        <a:ln>
          <a:noFill/>
        </a:ln>
        <a:effectLst/>
      </c:spPr>
    </c:plotArea>
    <c:legend>
      <c:legendPos val="b"/>
      <c:layout>
        <c:manualLayout>
          <c:xMode val="edge"/>
          <c:yMode val="edge"/>
          <c:x val="1.553818875801923E-2"/>
          <c:y val="0.88946697796496366"/>
          <c:w val="0.9"/>
          <c:h val="7.38748098528701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2015</a:t>
            </a:r>
          </a:p>
        </c:rich>
      </c:tx>
      <c:layout>
        <c:manualLayout>
          <c:xMode val="edge"/>
          <c:yMode val="edge"/>
          <c:x val="0.45785771603390341"/>
          <c:y val="6.803778330212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673779229784284"/>
          <c:y val="0.19197722567287784"/>
          <c:w val="0.75123087328832683"/>
          <c:h val="0.51980282356009844"/>
        </c:manualLayout>
      </c:layout>
      <c:scatterChart>
        <c:scatterStyle val="smoothMarker"/>
        <c:varyColors val="0"/>
        <c:ser>
          <c:idx val="0"/>
          <c:order val="0"/>
          <c:tx>
            <c:strRef>
              <c:f>WaterYears!$I$16</c:f>
              <c:strCache>
                <c:ptCount val="1"/>
                <c:pt idx="0">
                  <c:v> F.G. Net Inflow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WaterYears!$F$17:$F$28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WaterYears!$I$17:$I$28</c:f>
              <c:numCache>
                <c:formatCode>_(* #,##0_);_(* \(#,##0\);_(* "-"??_);_(@_)</c:formatCode>
                <c:ptCount val="12"/>
                <c:pt idx="0">
                  <c:v>68017.190082644665</c:v>
                </c:pt>
                <c:pt idx="1">
                  <c:v>83194.710743801741</c:v>
                </c:pt>
                <c:pt idx="2">
                  <c:v>87900.892561983492</c:v>
                </c:pt>
                <c:pt idx="3">
                  <c:v>103350.14876033062</c:v>
                </c:pt>
                <c:pt idx="4">
                  <c:v>271081.78512396733</c:v>
                </c:pt>
                <c:pt idx="5">
                  <c:v>414615.947107438</c:v>
                </c:pt>
                <c:pt idx="6">
                  <c:v>124075.02148760302</c:v>
                </c:pt>
                <c:pt idx="7">
                  <c:v>123996.49586776874</c:v>
                </c:pt>
                <c:pt idx="8">
                  <c:v>114551.60330578509</c:v>
                </c:pt>
                <c:pt idx="9">
                  <c:v>51190.214876033111</c:v>
                </c:pt>
                <c:pt idx="10">
                  <c:v>62029.884297520643</c:v>
                </c:pt>
                <c:pt idx="11">
                  <c:v>67057.388429752042</c:v>
                </c:pt>
              </c:numCache>
            </c:numRef>
          </c:yVal>
          <c:smooth val="1"/>
          <c:extLst>
            <c:ext xmlns:c16="http://schemas.microsoft.com/office/drawing/2014/chart" uri="{C3380CC4-5D6E-409C-BE32-E72D297353CC}">
              <c16:uniqueId val="{00000000-6775-48A2-9D50-536276032F84}"/>
            </c:ext>
          </c:extLst>
        </c:ser>
        <c:ser>
          <c:idx val="1"/>
          <c:order val="1"/>
          <c:tx>
            <c:strRef>
              <c:f>WaterYears!$J$16</c:f>
              <c:strCache>
                <c:ptCount val="1"/>
                <c:pt idx="0">
                  <c:v> Yampa_Flow </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WaterYears!$F$17:$F$28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WaterYears!$J$17:$J$28</c:f>
              <c:numCache>
                <c:formatCode>_(* #,##0_);_(* \(#,##0\);_(* "-"??_);_(@_)</c:formatCode>
                <c:ptCount val="12"/>
                <c:pt idx="0">
                  <c:v>22851.570247933902</c:v>
                </c:pt>
                <c:pt idx="1">
                  <c:v>24190.413223140498</c:v>
                </c:pt>
                <c:pt idx="2">
                  <c:v>59069.752066115703</c:v>
                </c:pt>
                <c:pt idx="3">
                  <c:v>260052.892561983</c:v>
                </c:pt>
                <c:pt idx="4">
                  <c:v>574016.52892562002</c:v>
                </c:pt>
                <c:pt idx="5">
                  <c:v>487755.37190082599</c:v>
                </c:pt>
                <c:pt idx="6">
                  <c:v>77740.165289256198</c:v>
                </c:pt>
                <c:pt idx="7">
                  <c:v>44175.867768595002</c:v>
                </c:pt>
                <c:pt idx="8">
                  <c:v>35869.090909090897</c:v>
                </c:pt>
                <c:pt idx="9">
                  <c:v>42628.760330578501</c:v>
                </c:pt>
                <c:pt idx="10">
                  <c:v>35446.6115702479</c:v>
                </c:pt>
                <c:pt idx="11">
                  <c:v>23658.8429752066</c:v>
                </c:pt>
              </c:numCache>
            </c:numRef>
          </c:yVal>
          <c:smooth val="1"/>
          <c:extLst>
            <c:ext xmlns:c16="http://schemas.microsoft.com/office/drawing/2014/chart" uri="{C3380CC4-5D6E-409C-BE32-E72D297353CC}">
              <c16:uniqueId val="{00000001-6775-48A2-9D50-536276032F84}"/>
            </c:ext>
          </c:extLst>
        </c:ser>
        <c:ser>
          <c:idx val="2"/>
          <c:order val="2"/>
          <c:tx>
            <c:strRef>
              <c:f>WaterYears!$K$16</c:f>
              <c:strCache>
                <c:ptCount val="1"/>
                <c:pt idx="0">
                  <c:v> GR_Jensen_Flow </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WaterYears!$F$17:$F$28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WaterYears!$K$17:$K$28</c:f>
              <c:numCache>
                <c:formatCode>_(* #,##0_);_(* \(#,##0\);_(* "-"??_);_(@_)</c:formatCode>
                <c:ptCount val="12"/>
                <c:pt idx="0">
                  <c:v>76780.165289256198</c:v>
                </c:pt>
                <c:pt idx="1">
                  <c:v>87788.429752066106</c:v>
                </c:pt>
                <c:pt idx="2">
                  <c:v>123213.223140496</c:v>
                </c:pt>
                <c:pt idx="3">
                  <c:v>305970.24793388398</c:v>
                </c:pt>
                <c:pt idx="4">
                  <c:v>594069.42148760299</c:v>
                </c:pt>
                <c:pt idx="5">
                  <c:v>775378.51239669404</c:v>
                </c:pt>
                <c:pt idx="6">
                  <c:v>208423.14049586799</c:v>
                </c:pt>
                <c:pt idx="7">
                  <c:v>190373.55371900799</c:v>
                </c:pt>
                <c:pt idx="8">
                  <c:v>170003.30578512399</c:v>
                </c:pt>
                <c:pt idx="9">
                  <c:v>108218.181818182</c:v>
                </c:pt>
                <c:pt idx="10">
                  <c:v>92112.396694214898</c:v>
                </c:pt>
                <c:pt idx="11">
                  <c:v>66480</c:v>
                </c:pt>
              </c:numCache>
            </c:numRef>
          </c:yVal>
          <c:smooth val="1"/>
          <c:extLst>
            <c:ext xmlns:c16="http://schemas.microsoft.com/office/drawing/2014/chart" uri="{C3380CC4-5D6E-409C-BE32-E72D297353CC}">
              <c16:uniqueId val="{00000002-6775-48A2-9D50-536276032F84}"/>
            </c:ext>
          </c:extLst>
        </c:ser>
        <c:ser>
          <c:idx val="3"/>
          <c:order val="3"/>
          <c:tx>
            <c:strRef>
              <c:f>WaterYears!$L$16</c:f>
              <c:strCache>
                <c:ptCount val="1"/>
                <c:pt idx="0">
                  <c:v> FG Release </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WaterYears!$F$17:$F$28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WaterYears!$L$17:$L$28</c:f>
              <c:numCache>
                <c:formatCode>_(* #,##0_);_(* \(#,##0\);_(* "-"??_);_(@_)</c:formatCode>
                <c:ptCount val="12"/>
                <c:pt idx="0">
                  <c:v>53928.595041322296</c:v>
                </c:pt>
                <c:pt idx="1">
                  <c:v>63598.016528925611</c:v>
                </c:pt>
                <c:pt idx="2">
                  <c:v>64143.471074380301</c:v>
                </c:pt>
                <c:pt idx="3">
                  <c:v>45917.35537190098</c:v>
                </c:pt>
                <c:pt idx="4">
                  <c:v>20052.892561982968</c:v>
                </c:pt>
                <c:pt idx="5">
                  <c:v>287623.14049586805</c:v>
                </c:pt>
                <c:pt idx="6">
                  <c:v>130682.97520661179</c:v>
                </c:pt>
                <c:pt idx="7">
                  <c:v>146197.685950413</c:v>
                </c:pt>
                <c:pt idx="8">
                  <c:v>134134.21487603307</c:v>
                </c:pt>
                <c:pt idx="9">
                  <c:v>65589.421487603497</c:v>
                </c:pt>
                <c:pt idx="10">
                  <c:v>56665.785123966998</c:v>
                </c:pt>
                <c:pt idx="11">
                  <c:v>42821.1570247934</c:v>
                </c:pt>
              </c:numCache>
            </c:numRef>
          </c:yVal>
          <c:smooth val="1"/>
          <c:extLst>
            <c:ext xmlns:c16="http://schemas.microsoft.com/office/drawing/2014/chart" uri="{C3380CC4-5D6E-409C-BE32-E72D297353CC}">
              <c16:uniqueId val="{00000003-6775-48A2-9D50-536276032F84}"/>
            </c:ext>
          </c:extLst>
        </c:ser>
        <c:dLbls>
          <c:showLegendKey val="0"/>
          <c:showVal val="0"/>
          <c:showCatName val="0"/>
          <c:showSerName val="0"/>
          <c:showPercent val="0"/>
          <c:showBubbleSize val="0"/>
        </c:dLbls>
        <c:axId val="525918687"/>
        <c:axId val="525930335"/>
      </c:scatterChart>
      <c:valAx>
        <c:axId val="525918687"/>
        <c:scaling>
          <c:orientation val="minMax"/>
          <c:max val="1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50" b="0" i="0" baseline="0">
                    <a:effectLst/>
                  </a:rPr>
                  <a:t>Month (1 = January)</a:t>
                </a:r>
                <a:endParaRPr lang="en-US" sz="500">
                  <a:effectLst/>
                </a:endParaRPr>
              </a:p>
            </c:rich>
          </c:tx>
          <c:layout>
            <c:manualLayout>
              <c:xMode val="edge"/>
              <c:yMode val="edge"/>
              <c:x val="0.37599850261829104"/>
              <c:y val="0.794538726137493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30335"/>
        <c:crosses val="autoZero"/>
        <c:crossBetween val="midCat"/>
        <c:majorUnit val="1"/>
      </c:valAx>
      <c:valAx>
        <c:axId val="5259303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Total Monthly Flow Volume (Ac-Ft)</a:t>
                </a:r>
                <a:endParaRPr lang="en-US" sz="400">
                  <a:effectLst/>
                </a:endParaRPr>
              </a:p>
            </c:rich>
          </c:tx>
          <c:layout>
            <c:manualLayout>
              <c:xMode val="edge"/>
              <c:yMode val="edge"/>
              <c:x val="2.9713668287412211E-2"/>
              <c:y val="9.363354037267079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18687"/>
        <c:crosses val="autoZero"/>
        <c:crossBetween val="midCat"/>
      </c:valAx>
      <c:spPr>
        <a:noFill/>
        <a:ln>
          <a:noFill/>
        </a:ln>
        <a:effectLst/>
      </c:spPr>
    </c:plotArea>
    <c:legend>
      <c:legendPos val="b"/>
      <c:layout>
        <c:manualLayout>
          <c:xMode val="edge"/>
          <c:yMode val="edge"/>
          <c:x val="5.4024851431658562E-3"/>
          <c:y val="0.9332558738250154"/>
          <c:w val="0.99211598752749097"/>
          <c:h val="6.495956181207951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2017</a:t>
            </a:r>
          </a:p>
        </c:rich>
      </c:tx>
      <c:layout>
        <c:manualLayout>
          <c:xMode val="edge"/>
          <c:yMode val="edge"/>
          <c:x val="0.4664096591161852"/>
          <c:y val="3.95622471240067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WaterYears!$I$31</c:f>
              <c:strCache>
                <c:ptCount val="1"/>
                <c:pt idx="0">
                  <c:v> F.G. Net Inflow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WaterYears!$F$32:$F$43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WaterYears!$I$32:$I$43</c:f>
              <c:numCache>
                <c:formatCode>_(* #,##0_);_(* \(#,##0\);_(* "-"??_);_(@_)</c:formatCode>
                <c:ptCount val="12"/>
                <c:pt idx="0">
                  <c:v>54709.884297520672</c:v>
                </c:pt>
                <c:pt idx="1">
                  <c:v>102194.57851239675</c:v>
                </c:pt>
                <c:pt idx="2">
                  <c:v>310868.62809917401</c:v>
                </c:pt>
                <c:pt idx="3">
                  <c:v>412552.06611570274</c:v>
                </c:pt>
                <c:pt idx="4">
                  <c:v>552063.4710743801</c:v>
                </c:pt>
                <c:pt idx="5">
                  <c:v>658152.3966942149</c:v>
                </c:pt>
                <c:pt idx="6">
                  <c:v>366615.66942148778</c:v>
                </c:pt>
                <c:pt idx="7">
                  <c:v>170992.66115702511</c:v>
                </c:pt>
                <c:pt idx="8">
                  <c:v>83957.950413223152</c:v>
                </c:pt>
                <c:pt idx="9">
                  <c:v>65591.801652892609</c:v>
                </c:pt>
                <c:pt idx="10">
                  <c:v>72242.181818181853</c:v>
                </c:pt>
                <c:pt idx="11">
                  <c:v>64218.446280991753</c:v>
                </c:pt>
              </c:numCache>
            </c:numRef>
          </c:yVal>
          <c:smooth val="1"/>
          <c:extLst>
            <c:ext xmlns:c16="http://schemas.microsoft.com/office/drawing/2014/chart" uri="{C3380CC4-5D6E-409C-BE32-E72D297353CC}">
              <c16:uniqueId val="{00000000-72DC-4DC2-9557-F15A2B5108F9}"/>
            </c:ext>
          </c:extLst>
        </c:ser>
        <c:ser>
          <c:idx val="1"/>
          <c:order val="1"/>
          <c:tx>
            <c:strRef>
              <c:f>WaterYears!$J$31</c:f>
              <c:strCache>
                <c:ptCount val="1"/>
                <c:pt idx="0">
                  <c:v> Yampa_Flow </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WaterYears!$F$32:$F$43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WaterYears!$J$32:$J$43</c:f>
              <c:numCache>
                <c:formatCode>_(* #,##0_);_(* \(#,##0\);_(* "-"??_);_(@_)</c:formatCode>
                <c:ptCount val="12"/>
                <c:pt idx="0">
                  <c:v>26705.4545454545</c:v>
                </c:pt>
                <c:pt idx="1">
                  <c:v>27330.2479338843</c:v>
                </c:pt>
                <c:pt idx="2">
                  <c:v>107016.198347107</c:v>
                </c:pt>
                <c:pt idx="3">
                  <c:v>218261.15702479301</c:v>
                </c:pt>
                <c:pt idx="4">
                  <c:v>387907.43801652902</c:v>
                </c:pt>
                <c:pt idx="5">
                  <c:v>385190.08264462801</c:v>
                </c:pt>
                <c:pt idx="6">
                  <c:v>51522.644628099202</c:v>
                </c:pt>
                <c:pt idx="7">
                  <c:v>16758.347107438</c:v>
                </c:pt>
                <c:pt idx="8">
                  <c:v>10681.9834710744</c:v>
                </c:pt>
                <c:pt idx="9">
                  <c:v>23458.512396694201</c:v>
                </c:pt>
                <c:pt idx="10">
                  <c:v>25047.272727272699</c:v>
                </c:pt>
                <c:pt idx="11">
                  <c:v>20979.173553719</c:v>
                </c:pt>
              </c:numCache>
            </c:numRef>
          </c:yVal>
          <c:smooth val="1"/>
          <c:extLst>
            <c:ext xmlns:c16="http://schemas.microsoft.com/office/drawing/2014/chart" uri="{C3380CC4-5D6E-409C-BE32-E72D297353CC}">
              <c16:uniqueId val="{00000001-72DC-4DC2-9557-F15A2B5108F9}"/>
            </c:ext>
          </c:extLst>
        </c:ser>
        <c:ser>
          <c:idx val="2"/>
          <c:order val="2"/>
          <c:tx>
            <c:strRef>
              <c:f>WaterYears!$K$31</c:f>
              <c:strCache>
                <c:ptCount val="1"/>
                <c:pt idx="0">
                  <c:v> GR_Jensen_Flow </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WaterYears!$F$32:$F$43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WaterYears!$K$32:$K$43</c:f>
              <c:numCache>
                <c:formatCode>_(* #,##0_);_(* \(#,##0\);_(* "-"??_);_(@_)</c:formatCode>
                <c:ptCount val="12"/>
                <c:pt idx="0">
                  <c:v>149494.21487603299</c:v>
                </c:pt>
                <c:pt idx="1">
                  <c:v>188608.26446281001</c:v>
                </c:pt>
                <c:pt idx="2">
                  <c:v>408456.19834710698</c:v>
                </c:pt>
                <c:pt idx="3">
                  <c:v>744793.38842975197</c:v>
                </c:pt>
                <c:pt idx="4">
                  <c:v>857256.19834710704</c:v>
                </c:pt>
                <c:pt idx="5">
                  <c:v>858842.97520661203</c:v>
                </c:pt>
                <c:pt idx="6">
                  <c:v>314757.02479338797</c:v>
                </c:pt>
                <c:pt idx="7">
                  <c:v>173454.545454545</c:v>
                </c:pt>
                <c:pt idx="8">
                  <c:v>160740.495867769</c:v>
                </c:pt>
                <c:pt idx="9">
                  <c:v>119404.95867768599</c:v>
                </c:pt>
                <c:pt idx="10">
                  <c:v>112323.966942149</c:v>
                </c:pt>
                <c:pt idx="11">
                  <c:v>136403.30578512399</c:v>
                </c:pt>
              </c:numCache>
            </c:numRef>
          </c:yVal>
          <c:smooth val="1"/>
          <c:extLst>
            <c:ext xmlns:c16="http://schemas.microsoft.com/office/drawing/2014/chart" uri="{C3380CC4-5D6E-409C-BE32-E72D297353CC}">
              <c16:uniqueId val="{00000002-72DC-4DC2-9557-F15A2B5108F9}"/>
            </c:ext>
          </c:extLst>
        </c:ser>
        <c:ser>
          <c:idx val="3"/>
          <c:order val="3"/>
          <c:tx>
            <c:strRef>
              <c:f>WaterYears!$L$31</c:f>
              <c:strCache>
                <c:ptCount val="1"/>
                <c:pt idx="0">
                  <c:v> FG Release </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WaterYears!$F$32:$F$43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WaterYears!$L$32:$L$43</c:f>
              <c:numCache>
                <c:formatCode>_(* #,##0_);_(* \(#,##0\);_(* "-"??_);_(@_)</c:formatCode>
                <c:ptCount val="12"/>
                <c:pt idx="0">
                  <c:v>122788.76033057849</c:v>
                </c:pt>
                <c:pt idx="1">
                  <c:v>161278.01652892571</c:v>
                </c:pt>
                <c:pt idx="2">
                  <c:v>301440</c:v>
                </c:pt>
                <c:pt idx="3">
                  <c:v>526532.23140495899</c:v>
                </c:pt>
                <c:pt idx="4">
                  <c:v>469348.76033057802</c:v>
                </c:pt>
                <c:pt idx="5">
                  <c:v>473652.89256198402</c:v>
                </c:pt>
                <c:pt idx="6">
                  <c:v>263234.38016528875</c:v>
                </c:pt>
                <c:pt idx="7">
                  <c:v>156696.19834710701</c:v>
                </c:pt>
                <c:pt idx="8">
                  <c:v>150058.5123966946</c:v>
                </c:pt>
                <c:pt idx="9">
                  <c:v>95946.44628099179</c:v>
                </c:pt>
                <c:pt idx="10">
                  <c:v>87276.694214876305</c:v>
                </c:pt>
                <c:pt idx="11">
                  <c:v>115424.13223140499</c:v>
                </c:pt>
              </c:numCache>
            </c:numRef>
          </c:yVal>
          <c:smooth val="1"/>
          <c:extLst>
            <c:ext xmlns:c16="http://schemas.microsoft.com/office/drawing/2014/chart" uri="{C3380CC4-5D6E-409C-BE32-E72D297353CC}">
              <c16:uniqueId val="{00000003-72DC-4DC2-9557-F15A2B5108F9}"/>
            </c:ext>
          </c:extLst>
        </c:ser>
        <c:dLbls>
          <c:showLegendKey val="0"/>
          <c:showVal val="0"/>
          <c:showCatName val="0"/>
          <c:showSerName val="0"/>
          <c:showPercent val="0"/>
          <c:showBubbleSize val="0"/>
        </c:dLbls>
        <c:axId val="525961535"/>
        <c:axId val="525954463"/>
      </c:scatterChart>
      <c:valAx>
        <c:axId val="525961535"/>
        <c:scaling>
          <c:orientation val="minMax"/>
          <c:max val="1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Month (1 = January)</a:t>
                </a:r>
                <a:endParaRPr lang="en-US" sz="400">
                  <a:effectLst/>
                </a:endParaRPr>
              </a:p>
            </c:rich>
          </c:tx>
          <c:layout>
            <c:manualLayout>
              <c:xMode val="edge"/>
              <c:yMode val="edge"/>
              <c:x val="0.41924665040906867"/>
              <c:y val="0.8229174431505538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54463"/>
        <c:crosses val="autoZero"/>
        <c:crossBetween val="midCat"/>
        <c:majorUnit val="1"/>
      </c:valAx>
      <c:valAx>
        <c:axId val="525954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baseline="0">
                    <a:effectLst/>
                  </a:rPr>
                  <a:t>Total Monthly Flow Volume (Ac-Ft)</a:t>
                </a:r>
                <a:endParaRPr lang="en-US"/>
              </a:p>
            </c:rich>
          </c:tx>
          <c:layout>
            <c:manualLayout>
              <c:xMode val="edge"/>
              <c:yMode val="edge"/>
              <c:x val="2.5680534155110426E-2"/>
              <c:y val="0.1124103942652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615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Hydropower Release Volumes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HydropowerData!$R$1</c:f>
              <c:strCache>
                <c:ptCount val="1"/>
                <c:pt idx="0">
                  <c:v>2016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HydropowerData!$R$2:$R$13</c:f>
              <c:numCache>
                <c:formatCode>0</c:formatCode>
                <c:ptCount val="12"/>
                <c:pt idx="0">
                  <c:v>133898.18181818182</c:v>
                </c:pt>
                <c:pt idx="1">
                  <c:v>118440.99173553719</c:v>
                </c:pt>
                <c:pt idx="2">
                  <c:v>50745.123966942148</c:v>
                </c:pt>
                <c:pt idx="3">
                  <c:v>49731.570247933887</c:v>
                </c:pt>
                <c:pt idx="4">
                  <c:v>51806.280991735541</c:v>
                </c:pt>
                <c:pt idx="5">
                  <c:v>270154.71074380167</c:v>
                </c:pt>
                <c:pt idx="6">
                  <c:v>115547.10743801652</c:v>
                </c:pt>
                <c:pt idx="7">
                  <c:v>110376.19834710743</c:v>
                </c:pt>
                <c:pt idx="8">
                  <c:v>106609.58677685951</c:v>
                </c:pt>
                <c:pt idx="9">
                  <c:v>85390.413223140495</c:v>
                </c:pt>
                <c:pt idx="10">
                  <c:v>77208.595041322318</c:v>
                </c:pt>
                <c:pt idx="11">
                  <c:v>105988.76033057852</c:v>
                </c:pt>
              </c:numCache>
            </c:numRef>
          </c:yVal>
          <c:smooth val="0"/>
          <c:extLst>
            <c:ext xmlns:c16="http://schemas.microsoft.com/office/drawing/2014/chart" uri="{C3380CC4-5D6E-409C-BE32-E72D297353CC}">
              <c16:uniqueId val="{00000000-C984-43D7-9984-03E6E78A00FA}"/>
            </c:ext>
          </c:extLst>
        </c:ser>
        <c:ser>
          <c:idx val="1"/>
          <c:order val="1"/>
          <c:tx>
            <c:strRef>
              <c:f>HydropowerData!$S$1</c:f>
              <c:strCache>
                <c:ptCount val="1"/>
                <c:pt idx="0">
                  <c:v>2017</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HydropowerData!$S$2:$S$13</c:f>
              <c:numCache>
                <c:formatCode>0</c:formatCode>
                <c:ptCount val="12"/>
                <c:pt idx="0">
                  <c:v>110062.80991735538</c:v>
                </c:pt>
                <c:pt idx="1">
                  <c:v>108932.23140495867</c:v>
                </c:pt>
                <c:pt idx="2">
                  <c:v>256034.38016528924</c:v>
                </c:pt>
                <c:pt idx="3">
                  <c:v>267538.51239669422</c:v>
                </c:pt>
                <c:pt idx="4">
                  <c:v>277606.61157024791</c:v>
                </c:pt>
                <c:pt idx="5">
                  <c:v>263180.82644628099</c:v>
                </c:pt>
                <c:pt idx="6">
                  <c:v>180331.23966942148</c:v>
                </c:pt>
                <c:pt idx="7">
                  <c:v>142778.18181818182</c:v>
                </c:pt>
                <c:pt idx="8">
                  <c:v>140941.48760330578</c:v>
                </c:pt>
                <c:pt idx="9">
                  <c:v>106700.82644628099</c:v>
                </c:pt>
                <c:pt idx="10">
                  <c:v>139043.30578512396</c:v>
                </c:pt>
                <c:pt idx="11">
                  <c:v>174011.90082644628</c:v>
                </c:pt>
              </c:numCache>
            </c:numRef>
          </c:yVal>
          <c:smooth val="0"/>
          <c:extLst>
            <c:ext xmlns:c16="http://schemas.microsoft.com/office/drawing/2014/chart" uri="{C3380CC4-5D6E-409C-BE32-E72D297353CC}">
              <c16:uniqueId val="{00000001-C984-43D7-9984-03E6E78A00FA}"/>
            </c:ext>
          </c:extLst>
        </c:ser>
        <c:ser>
          <c:idx val="2"/>
          <c:order val="2"/>
          <c:tx>
            <c:strRef>
              <c:f>HydropowerData!$T$1</c:f>
              <c:strCache>
                <c:ptCount val="1"/>
                <c:pt idx="0">
                  <c:v>2018</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HydropowerData!$T$2:$T$13</c:f>
              <c:numCache>
                <c:formatCode>0</c:formatCode>
                <c:ptCount val="12"/>
                <c:pt idx="0">
                  <c:v>175426.11570247935</c:v>
                </c:pt>
                <c:pt idx="1">
                  <c:v>155440.66115702479</c:v>
                </c:pt>
                <c:pt idx="2">
                  <c:v>105726.94214876032</c:v>
                </c:pt>
                <c:pt idx="3">
                  <c:v>101202.64462809918</c:v>
                </c:pt>
                <c:pt idx="4">
                  <c:v>163497.52066115703</c:v>
                </c:pt>
                <c:pt idx="5">
                  <c:v>124661.15702479339</c:v>
                </c:pt>
                <c:pt idx="6">
                  <c:v>119760</c:v>
                </c:pt>
                <c:pt idx="7">
                  <c:v>123814.21487603306</c:v>
                </c:pt>
                <c:pt idx="8">
                  <c:v>119321.65289256198</c:v>
                </c:pt>
                <c:pt idx="9">
                  <c:v>98584.462809917357</c:v>
                </c:pt>
                <c:pt idx="10">
                  <c:v>92858.181818181823</c:v>
                </c:pt>
                <c:pt idx="11">
                  <c:v>123802.31404958677</c:v>
                </c:pt>
              </c:numCache>
            </c:numRef>
          </c:yVal>
          <c:smooth val="0"/>
          <c:extLst>
            <c:ext xmlns:c16="http://schemas.microsoft.com/office/drawing/2014/chart" uri="{C3380CC4-5D6E-409C-BE32-E72D297353CC}">
              <c16:uniqueId val="{00000002-C984-43D7-9984-03E6E78A00FA}"/>
            </c:ext>
          </c:extLst>
        </c:ser>
        <c:ser>
          <c:idx val="3"/>
          <c:order val="3"/>
          <c:tx>
            <c:strRef>
              <c:f>HydropowerData!$U$1</c:f>
              <c:strCache>
                <c:ptCount val="1"/>
                <c:pt idx="0">
                  <c:v>2019</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HydropowerData!$U$2:$U$13</c:f>
              <c:numCache>
                <c:formatCode>0</c:formatCode>
                <c:ptCount val="12"/>
                <c:pt idx="0">
                  <c:v>123893.55371900827</c:v>
                </c:pt>
                <c:pt idx="1">
                  <c:v>112121.65289256198</c:v>
                </c:pt>
                <c:pt idx="2">
                  <c:v>57933.223140495866</c:v>
                </c:pt>
                <c:pt idx="3">
                  <c:v>70560</c:v>
                </c:pt>
                <c:pt idx="4">
                  <c:v>98608.264462809922</c:v>
                </c:pt>
                <c:pt idx="5">
                  <c:v>215125.28925619836</c:v>
                </c:pt>
                <c:pt idx="6">
                  <c:v>99600</c:v>
                </c:pt>
                <c:pt idx="7">
                  <c:v>108694.21487603306</c:v>
                </c:pt>
                <c:pt idx="8">
                  <c:v>113283.96694214876</c:v>
                </c:pt>
                <c:pt idx="9">
                  <c:v>80183.801652892565</c:v>
                </c:pt>
                <c:pt idx="10">
                  <c:v>81237.024793388424</c:v>
                </c:pt>
                <c:pt idx="11">
                  <c:v>127797.02479338842</c:v>
                </c:pt>
              </c:numCache>
            </c:numRef>
          </c:yVal>
          <c:smooth val="0"/>
          <c:extLst>
            <c:ext xmlns:c16="http://schemas.microsoft.com/office/drawing/2014/chart" uri="{C3380CC4-5D6E-409C-BE32-E72D297353CC}">
              <c16:uniqueId val="{00000003-C984-43D7-9984-03E6E78A00FA}"/>
            </c:ext>
          </c:extLst>
        </c:ser>
        <c:ser>
          <c:idx val="4"/>
          <c:order val="4"/>
          <c:tx>
            <c:strRef>
              <c:f>HydropowerData!$V$1</c:f>
              <c:strCache>
                <c:ptCount val="1"/>
                <c:pt idx="0">
                  <c:v>2020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HydropowerData!$V$2:$V$13</c:f>
              <c:numCache>
                <c:formatCode>0</c:formatCode>
                <c:ptCount val="12"/>
                <c:pt idx="0">
                  <c:v>133424.13223140495</c:v>
                </c:pt>
                <c:pt idx="1">
                  <c:v>123788.42975206612</c:v>
                </c:pt>
                <c:pt idx="2">
                  <c:v>119391.07438016529</c:v>
                </c:pt>
                <c:pt idx="3">
                  <c:v>112252.56198347108</c:v>
                </c:pt>
                <c:pt idx="4">
                  <c:v>97797.024793388424</c:v>
                </c:pt>
                <c:pt idx="5">
                  <c:v>156549.42148760331</c:v>
                </c:pt>
                <c:pt idx="6">
                  <c:v>89708.42975206612</c:v>
                </c:pt>
                <c:pt idx="7">
                  <c:v>112325.95041322314</c:v>
                </c:pt>
                <c:pt idx="8">
                  <c:v>98433.719008264467</c:v>
                </c:pt>
                <c:pt idx="9">
                  <c:v>63808.264462809915</c:v>
                </c:pt>
                <c:pt idx="10">
                  <c:v>131307.76859504133</c:v>
                </c:pt>
                <c:pt idx="11">
                  <c:v>136583.80165289255</c:v>
                </c:pt>
              </c:numCache>
            </c:numRef>
          </c:yVal>
          <c:smooth val="0"/>
          <c:extLst>
            <c:ext xmlns:c16="http://schemas.microsoft.com/office/drawing/2014/chart" uri="{C3380CC4-5D6E-409C-BE32-E72D297353CC}">
              <c16:uniqueId val="{00000004-C984-43D7-9984-03E6E78A00FA}"/>
            </c:ext>
          </c:extLst>
        </c:ser>
        <c:ser>
          <c:idx val="5"/>
          <c:order val="5"/>
          <c:tx>
            <c:strRef>
              <c:f>HydropowerData!$W$1</c:f>
              <c:strCache>
                <c:ptCount val="1"/>
                <c:pt idx="0">
                  <c:v>Minimum</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HydropowerData!$W$2:$W$13</c:f>
              <c:numCache>
                <c:formatCode>0</c:formatCode>
                <c:ptCount val="12"/>
                <c:pt idx="0">
                  <c:v>110062.80991735538</c:v>
                </c:pt>
                <c:pt idx="1">
                  <c:v>108932.23140495867</c:v>
                </c:pt>
                <c:pt idx="2">
                  <c:v>50745.123966942148</c:v>
                </c:pt>
                <c:pt idx="3">
                  <c:v>49731.570247933887</c:v>
                </c:pt>
                <c:pt idx="4">
                  <c:v>51806.280991735541</c:v>
                </c:pt>
                <c:pt idx="5">
                  <c:v>124661.15702479339</c:v>
                </c:pt>
                <c:pt idx="6">
                  <c:v>89708.42975206612</c:v>
                </c:pt>
                <c:pt idx="7">
                  <c:v>108694.21487603306</c:v>
                </c:pt>
                <c:pt idx="8">
                  <c:v>98433.719008264467</c:v>
                </c:pt>
                <c:pt idx="9">
                  <c:v>63808.264462809915</c:v>
                </c:pt>
                <c:pt idx="10">
                  <c:v>77208.595041322318</c:v>
                </c:pt>
                <c:pt idx="11">
                  <c:v>105988.76033057852</c:v>
                </c:pt>
              </c:numCache>
            </c:numRef>
          </c:yVal>
          <c:smooth val="0"/>
          <c:extLst>
            <c:ext xmlns:c16="http://schemas.microsoft.com/office/drawing/2014/chart" uri="{C3380CC4-5D6E-409C-BE32-E72D297353CC}">
              <c16:uniqueId val="{00000005-C984-43D7-9984-03E6E78A00FA}"/>
            </c:ext>
          </c:extLst>
        </c:ser>
        <c:dLbls>
          <c:showLegendKey val="0"/>
          <c:showVal val="0"/>
          <c:showCatName val="0"/>
          <c:showSerName val="0"/>
          <c:showPercent val="0"/>
          <c:showBubbleSize val="0"/>
        </c:dLbls>
        <c:axId val="1481027088"/>
        <c:axId val="1366519632"/>
      </c:scatterChart>
      <c:valAx>
        <c:axId val="1481027088"/>
        <c:scaling>
          <c:orientation val="minMax"/>
          <c:max val="1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layout>
            <c:manualLayout>
              <c:xMode val="edge"/>
              <c:yMode val="edge"/>
              <c:x val="0.45083349066557088"/>
              <c:y val="0.8113027394067091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6519632"/>
        <c:crosses val="autoZero"/>
        <c:crossBetween val="midCat"/>
      </c:valAx>
      <c:valAx>
        <c:axId val="1366519632"/>
        <c:scaling>
          <c:orientation val="minMax"/>
          <c:min val="5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Release Volume  (Ac-ft)</a:t>
                </a:r>
              </a:p>
            </c:rich>
          </c:tx>
          <c:layout>
            <c:manualLayout>
              <c:xMode val="edge"/>
              <c:yMode val="edge"/>
              <c:x val="1.488095238095238E-2"/>
              <c:y val="0.3310830208343323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10270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Storage-Area</c:v>
          </c:tx>
          <c:spPr>
            <a:ln>
              <a:solidFill>
                <a:srgbClr val="FF0000"/>
              </a:solidFill>
            </a:ln>
          </c:spPr>
          <c:marker>
            <c:spPr>
              <a:ln>
                <a:solidFill>
                  <a:srgbClr val="FF0000"/>
                </a:solidFill>
              </a:ln>
            </c:spPr>
          </c:marker>
          <c:xVal>
            <c:numRef>
              <c:f>'FlamingGorge-Elevation-Area'!$C$5:$C$625</c:f>
              <c:numCache>
                <c:formatCode>_(* #,##0_);_(* \(#,##0\);_(* "-"??_);_(@_)</c:formatCode>
                <c:ptCount val="621"/>
                <c:pt idx="0">
                  <c:v>0</c:v>
                </c:pt>
                <c:pt idx="1">
                  <c:v>360.88</c:v>
                </c:pt>
                <c:pt idx="2">
                  <c:v>723.5</c:v>
                </c:pt>
                <c:pt idx="3">
                  <c:v>1087.8800000000001</c:v>
                </c:pt>
                <c:pt idx="4">
                  <c:v>1454</c:v>
                </c:pt>
                <c:pt idx="5">
                  <c:v>1821.88</c:v>
                </c:pt>
                <c:pt idx="6">
                  <c:v>2191.5</c:v>
                </c:pt>
                <c:pt idx="7">
                  <c:v>2562.88</c:v>
                </c:pt>
                <c:pt idx="8">
                  <c:v>2936</c:v>
                </c:pt>
                <c:pt idx="9">
                  <c:v>3310.88</c:v>
                </c:pt>
                <c:pt idx="10">
                  <c:v>3687.5</c:v>
                </c:pt>
                <c:pt idx="11">
                  <c:v>4065.88</c:v>
                </c:pt>
                <c:pt idx="12">
                  <c:v>4446</c:v>
                </c:pt>
                <c:pt idx="13">
                  <c:v>4827.88</c:v>
                </c:pt>
                <c:pt idx="14">
                  <c:v>5211.5</c:v>
                </c:pt>
                <c:pt idx="15">
                  <c:v>5596.88</c:v>
                </c:pt>
                <c:pt idx="16">
                  <c:v>5984</c:v>
                </c:pt>
                <c:pt idx="17">
                  <c:v>6372.88</c:v>
                </c:pt>
                <c:pt idx="18">
                  <c:v>6763.5</c:v>
                </c:pt>
                <c:pt idx="19">
                  <c:v>7155.88</c:v>
                </c:pt>
                <c:pt idx="20">
                  <c:v>7550</c:v>
                </c:pt>
                <c:pt idx="21">
                  <c:v>7946</c:v>
                </c:pt>
                <c:pt idx="22">
                  <c:v>8344</c:v>
                </c:pt>
                <c:pt idx="23">
                  <c:v>8744</c:v>
                </c:pt>
                <c:pt idx="24">
                  <c:v>9146</c:v>
                </c:pt>
                <c:pt idx="25">
                  <c:v>9550</c:v>
                </c:pt>
                <c:pt idx="26">
                  <c:v>9956</c:v>
                </c:pt>
                <c:pt idx="27">
                  <c:v>10364</c:v>
                </c:pt>
                <c:pt idx="28">
                  <c:v>10774</c:v>
                </c:pt>
                <c:pt idx="29">
                  <c:v>11186</c:v>
                </c:pt>
                <c:pt idx="30">
                  <c:v>11600</c:v>
                </c:pt>
                <c:pt idx="31">
                  <c:v>12016</c:v>
                </c:pt>
                <c:pt idx="32">
                  <c:v>12434</c:v>
                </c:pt>
                <c:pt idx="33">
                  <c:v>12854</c:v>
                </c:pt>
                <c:pt idx="34">
                  <c:v>13276</c:v>
                </c:pt>
                <c:pt idx="35">
                  <c:v>13700</c:v>
                </c:pt>
                <c:pt idx="36">
                  <c:v>14126</c:v>
                </c:pt>
                <c:pt idx="37">
                  <c:v>14554</c:v>
                </c:pt>
                <c:pt idx="38">
                  <c:v>14984</c:v>
                </c:pt>
                <c:pt idx="39">
                  <c:v>15416</c:v>
                </c:pt>
                <c:pt idx="40">
                  <c:v>15850</c:v>
                </c:pt>
                <c:pt idx="41">
                  <c:v>16286</c:v>
                </c:pt>
                <c:pt idx="42">
                  <c:v>16724</c:v>
                </c:pt>
                <c:pt idx="43">
                  <c:v>17164</c:v>
                </c:pt>
                <c:pt idx="44">
                  <c:v>17606</c:v>
                </c:pt>
                <c:pt idx="45">
                  <c:v>18050</c:v>
                </c:pt>
                <c:pt idx="46">
                  <c:v>18496</c:v>
                </c:pt>
                <c:pt idx="47">
                  <c:v>18944</c:v>
                </c:pt>
                <c:pt idx="48">
                  <c:v>19394</c:v>
                </c:pt>
                <c:pt idx="49">
                  <c:v>19846</c:v>
                </c:pt>
                <c:pt idx="50">
                  <c:v>20300</c:v>
                </c:pt>
                <c:pt idx="51">
                  <c:v>20756</c:v>
                </c:pt>
                <c:pt idx="52">
                  <c:v>21214</c:v>
                </c:pt>
                <c:pt idx="53">
                  <c:v>21674</c:v>
                </c:pt>
                <c:pt idx="54">
                  <c:v>22136</c:v>
                </c:pt>
                <c:pt idx="55">
                  <c:v>22600</c:v>
                </c:pt>
                <c:pt idx="56">
                  <c:v>23066</c:v>
                </c:pt>
                <c:pt idx="57">
                  <c:v>23534</c:v>
                </c:pt>
                <c:pt idx="58">
                  <c:v>24004</c:v>
                </c:pt>
                <c:pt idx="59">
                  <c:v>24476</c:v>
                </c:pt>
                <c:pt idx="60">
                  <c:v>24950</c:v>
                </c:pt>
                <c:pt idx="61">
                  <c:v>25426.38</c:v>
                </c:pt>
                <c:pt idx="62">
                  <c:v>25905.5</c:v>
                </c:pt>
                <c:pt idx="63">
                  <c:v>26387.38</c:v>
                </c:pt>
                <c:pt idx="64">
                  <c:v>26872</c:v>
                </c:pt>
                <c:pt idx="65">
                  <c:v>27359.38</c:v>
                </c:pt>
                <c:pt idx="66">
                  <c:v>27849.5</c:v>
                </c:pt>
                <c:pt idx="67">
                  <c:v>28342.38</c:v>
                </c:pt>
                <c:pt idx="68">
                  <c:v>28838</c:v>
                </c:pt>
                <c:pt idx="69">
                  <c:v>29336.38</c:v>
                </c:pt>
                <c:pt idx="70">
                  <c:v>29837.5</c:v>
                </c:pt>
                <c:pt idx="71">
                  <c:v>30341.38</c:v>
                </c:pt>
                <c:pt idx="72">
                  <c:v>30848</c:v>
                </c:pt>
                <c:pt idx="73">
                  <c:v>31357.38</c:v>
                </c:pt>
                <c:pt idx="74">
                  <c:v>31869.5</c:v>
                </c:pt>
                <c:pt idx="75">
                  <c:v>32384.38</c:v>
                </c:pt>
                <c:pt idx="76">
                  <c:v>32902</c:v>
                </c:pt>
                <c:pt idx="77">
                  <c:v>33422.379999999997</c:v>
                </c:pt>
                <c:pt idx="78">
                  <c:v>33945.5</c:v>
                </c:pt>
                <c:pt idx="79">
                  <c:v>34471.379999999997</c:v>
                </c:pt>
                <c:pt idx="80">
                  <c:v>35000</c:v>
                </c:pt>
                <c:pt idx="81">
                  <c:v>35531.129999999997</c:v>
                </c:pt>
                <c:pt idx="82">
                  <c:v>36064.5</c:v>
                </c:pt>
                <c:pt idx="83">
                  <c:v>36600.129999999997</c:v>
                </c:pt>
                <c:pt idx="84">
                  <c:v>37138</c:v>
                </c:pt>
                <c:pt idx="85">
                  <c:v>37678.129999999997</c:v>
                </c:pt>
                <c:pt idx="86">
                  <c:v>38220.5</c:v>
                </c:pt>
                <c:pt idx="87">
                  <c:v>38765.129999999997</c:v>
                </c:pt>
                <c:pt idx="88">
                  <c:v>39312</c:v>
                </c:pt>
                <c:pt idx="89">
                  <c:v>39861.129999999997</c:v>
                </c:pt>
                <c:pt idx="90">
                  <c:v>40412.5</c:v>
                </c:pt>
                <c:pt idx="91">
                  <c:v>40966.129999999997</c:v>
                </c:pt>
                <c:pt idx="92">
                  <c:v>41522</c:v>
                </c:pt>
                <c:pt idx="93">
                  <c:v>42080.13</c:v>
                </c:pt>
                <c:pt idx="94">
                  <c:v>42640.5</c:v>
                </c:pt>
                <c:pt idx="95">
                  <c:v>43203.13</c:v>
                </c:pt>
                <c:pt idx="96">
                  <c:v>43768</c:v>
                </c:pt>
                <c:pt idx="97">
                  <c:v>44335.13</c:v>
                </c:pt>
                <c:pt idx="98">
                  <c:v>44904.5</c:v>
                </c:pt>
                <c:pt idx="99">
                  <c:v>45476.13</c:v>
                </c:pt>
                <c:pt idx="100">
                  <c:v>46050</c:v>
                </c:pt>
                <c:pt idx="101">
                  <c:v>46626.38</c:v>
                </c:pt>
                <c:pt idx="102">
                  <c:v>47205.5</c:v>
                </c:pt>
                <c:pt idx="103">
                  <c:v>47787.38</c:v>
                </c:pt>
                <c:pt idx="104">
                  <c:v>48372</c:v>
                </c:pt>
                <c:pt idx="105">
                  <c:v>48959.38</c:v>
                </c:pt>
                <c:pt idx="106">
                  <c:v>49549.5</c:v>
                </c:pt>
                <c:pt idx="107">
                  <c:v>50142.38</c:v>
                </c:pt>
                <c:pt idx="108">
                  <c:v>50738</c:v>
                </c:pt>
                <c:pt idx="109">
                  <c:v>51336.38</c:v>
                </c:pt>
                <c:pt idx="110">
                  <c:v>51937.5</c:v>
                </c:pt>
                <c:pt idx="111">
                  <c:v>52541.38</c:v>
                </c:pt>
                <c:pt idx="112">
                  <c:v>53148</c:v>
                </c:pt>
                <c:pt idx="113">
                  <c:v>53757.38</c:v>
                </c:pt>
                <c:pt idx="114">
                  <c:v>54369.5</c:v>
                </c:pt>
                <c:pt idx="115">
                  <c:v>54984.38</c:v>
                </c:pt>
                <c:pt idx="116">
                  <c:v>55602</c:v>
                </c:pt>
                <c:pt idx="117">
                  <c:v>56222.38</c:v>
                </c:pt>
                <c:pt idx="118">
                  <c:v>56845.5</c:v>
                </c:pt>
                <c:pt idx="119">
                  <c:v>57471.38</c:v>
                </c:pt>
                <c:pt idx="120">
                  <c:v>58100</c:v>
                </c:pt>
                <c:pt idx="121">
                  <c:v>58731.88</c:v>
                </c:pt>
                <c:pt idx="122">
                  <c:v>59367.5</c:v>
                </c:pt>
                <c:pt idx="123">
                  <c:v>60006.879999999997</c:v>
                </c:pt>
                <c:pt idx="124">
                  <c:v>60650</c:v>
                </c:pt>
                <c:pt idx="125">
                  <c:v>61296.88</c:v>
                </c:pt>
                <c:pt idx="126">
                  <c:v>61947.5</c:v>
                </c:pt>
                <c:pt idx="127">
                  <c:v>62601.88</c:v>
                </c:pt>
                <c:pt idx="128">
                  <c:v>63260</c:v>
                </c:pt>
                <c:pt idx="129">
                  <c:v>63921.88</c:v>
                </c:pt>
                <c:pt idx="130">
                  <c:v>64587.5</c:v>
                </c:pt>
                <c:pt idx="131">
                  <c:v>65256.88</c:v>
                </c:pt>
                <c:pt idx="132">
                  <c:v>65930</c:v>
                </c:pt>
                <c:pt idx="133">
                  <c:v>66606.880000000005</c:v>
                </c:pt>
                <c:pt idx="134">
                  <c:v>67287.5</c:v>
                </c:pt>
                <c:pt idx="135">
                  <c:v>67971.88</c:v>
                </c:pt>
                <c:pt idx="136">
                  <c:v>68660</c:v>
                </c:pt>
                <c:pt idx="137">
                  <c:v>69351.88</c:v>
                </c:pt>
                <c:pt idx="138">
                  <c:v>70047.5</c:v>
                </c:pt>
                <c:pt idx="139">
                  <c:v>70746.880000000005</c:v>
                </c:pt>
                <c:pt idx="140">
                  <c:v>71450</c:v>
                </c:pt>
                <c:pt idx="141">
                  <c:v>72156.63</c:v>
                </c:pt>
                <c:pt idx="142">
                  <c:v>72866.5</c:v>
                </c:pt>
                <c:pt idx="143">
                  <c:v>73579.63</c:v>
                </c:pt>
                <c:pt idx="144">
                  <c:v>74296</c:v>
                </c:pt>
                <c:pt idx="145">
                  <c:v>75015.63</c:v>
                </c:pt>
                <c:pt idx="146">
                  <c:v>75738.5</c:v>
                </c:pt>
                <c:pt idx="147">
                  <c:v>76464.63</c:v>
                </c:pt>
                <c:pt idx="148">
                  <c:v>77194</c:v>
                </c:pt>
                <c:pt idx="149">
                  <c:v>77926.63</c:v>
                </c:pt>
                <c:pt idx="150">
                  <c:v>78662.5</c:v>
                </c:pt>
                <c:pt idx="151">
                  <c:v>79401.63</c:v>
                </c:pt>
                <c:pt idx="152">
                  <c:v>80144</c:v>
                </c:pt>
                <c:pt idx="153">
                  <c:v>80889.63</c:v>
                </c:pt>
                <c:pt idx="154">
                  <c:v>81638.5</c:v>
                </c:pt>
                <c:pt idx="155">
                  <c:v>82390.63</c:v>
                </c:pt>
                <c:pt idx="156">
                  <c:v>83146</c:v>
                </c:pt>
                <c:pt idx="157">
                  <c:v>83904.63</c:v>
                </c:pt>
                <c:pt idx="158">
                  <c:v>84666.5</c:v>
                </c:pt>
                <c:pt idx="159">
                  <c:v>85431.63</c:v>
                </c:pt>
                <c:pt idx="160">
                  <c:v>86200</c:v>
                </c:pt>
                <c:pt idx="161">
                  <c:v>86972.63</c:v>
                </c:pt>
                <c:pt idx="162">
                  <c:v>87750.5</c:v>
                </c:pt>
                <c:pt idx="163">
                  <c:v>88533.63</c:v>
                </c:pt>
                <c:pt idx="164">
                  <c:v>89322</c:v>
                </c:pt>
                <c:pt idx="165">
                  <c:v>90115.63</c:v>
                </c:pt>
                <c:pt idx="166">
                  <c:v>90914.5</c:v>
                </c:pt>
                <c:pt idx="167">
                  <c:v>91718.63</c:v>
                </c:pt>
                <c:pt idx="168">
                  <c:v>92528</c:v>
                </c:pt>
                <c:pt idx="169">
                  <c:v>93342.63</c:v>
                </c:pt>
                <c:pt idx="170">
                  <c:v>94162.5</c:v>
                </c:pt>
                <c:pt idx="171">
                  <c:v>94987.63</c:v>
                </c:pt>
                <c:pt idx="172">
                  <c:v>95818</c:v>
                </c:pt>
                <c:pt idx="173">
                  <c:v>96653.63</c:v>
                </c:pt>
                <c:pt idx="174">
                  <c:v>97494.5</c:v>
                </c:pt>
                <c:pt idx="175">
                  <c:v>98340.63</c:v>
                </c:pt>
                <c:pt idx="176">
                  <c:v>99192</c:v>
                </c:pt>
                <c:pt idx="177">
                  <c:v>100048.63</c:v>
                </c:pt>
                <c:pt idx="178">
                  <c:v>100910.5</c:v>
                </c:pt>
                <c:pt idx="179">
                  <c:v>101777.63</c:v>
                </c:pt>
                <c:pt idx="180">
                  <c:v>102650</c:v>
                </c:pt>
                <c:pt idx="181">
                  <c:v>103528.5</c:v>
                </c:pt>
                <c:pt idx="182">
                  <c:v>104414</c:v>
                </c:pt>
                <c:pt idx="183">
                  <c:v>105306.5</c:v>
                </c:pt>
                <c:pt idx="184">
                  <c:v>106206</c:v>
                </c:pt>
                <c:pt idx="185">
                  <c:v>107112.5</c:v>
                </c:pt>
                <c:pt idx="186">
                  <c:v>108026</c:v>
                </c:pt>
                <c:pt idx="187">
                  <c:v>108946.5</c:v>
                </c:pt>
                <c:pt idx="188">
                  <c:v>109874</c:v>
                </c:pt>
                <c:pt idx="189">
                  <c:v>110808.5</c:v>
                </c:pt>
                <c:pt idx="190">
                  <c:v>111750</c:v>
                </c:pt>
                <c:pt idx="191">
                  <c:v>112698.5</c:v>
                </c:pt>
                <c:pt idx="192">
                  <c:v>113654</c:v>
                </c:pt>
                <c:pt idx="193">
                  <c:v>114616.5</c:v>
                </c:pt>
                <c:pt idx="194">
                  <c:v>115586</c:v>
                </c:pt>
                <c:pt idx="195">
                  <c:v>116562.5</c:v>
                </c:pt>
                <c:pt idx="196">
                  <c:v>117546</c:v>
                </c:pt>
                <c:pt idx="197">
                  <c:v>118536.5</c:v>
                </c:pt>
                <c:pt idx="198">
                  <c:v>119534</c:v>
                </c:pt>
                <c:pt idx="199">
                  <c:v>120538.5</c:v>
                </c:pt>
                <c:pt idx="200">
                  <c:v>121550</c:v>
                </c:pt>
                <c:pt idx="201">
                  <c:v>122571.38</c:v>
                </c:pt>
                <c:pt idx="202">
                  <c:v>123605.5</c:v>
                </c:pt>
                <c:pt idx="203">
                  <c:v>124652.38</c:v>
                </c:pt>
                <c:pt idx="204">
                  <c:v>125712</c:v>
                </c:pt>
                <c:pt idx="205">
                  <c:v>126784.38</c:v>
                </c:pt>
                <c:pt idx="206">
                  <c:v>127869.5</c:v>
                </c:pt>
                <c:pt idx="207">
                  <c:v>128967.38</c:v>
                </c:pt>
                <c:pt idx="208">
                  <c:v>130078</c:v>
                </c:pt>
                <c:pt idx="209">
                  <c:v>131201.38</c:v>
                </c:pt>
                <c:pt idx="210">
                  <c:v>132337.5</c:v>
                </c:pt>
                <c:pt idx="211">
                  <c:v>133486.38</c:v>
                </c:pt>
                <c:pt idx="212">
                  <c:v>134648</c:v>
                </c:pt>
                <c:pt idx="213">
                  <c:v>135822.38</c:v>
                </c:pt>
                <c:pt idx="214">
                  <c:v>137009.5</c:v>
                </c:pt>
                <c:pt idx="215">
                  <c:v>138209.38</c:v>
                </c:pt>
                <c:pt idx="216">
                  <c:v>139422</c:v>
                </c:pt>
                <c:pt idx="217">
                  <c:v>140647.38</c:v>
                </c:pt>
                <c:pt idx="218">
                  <c:v>141885.5</c:v>
                </c:pt>
                <c:pt idx="219">
                  <c:v>143136.38</c:v>
                </c:pt>
                <c:pt idx="220">
                  <c:v>144400</c:v>
                </c:pt>
                <c:pt idx="221">
                  <c:v>145692</c:v>
                </c:pt>
                <c:pt idx="222">
                  <c:v>147028</c:v>
                </c:pt>
                <c:pt idx="223">
                  <c:v>148408</c:v>
                </c:pt>
                <c:pt idx="224">
                  <c:v>149832</c:v>
                </c:pt>
                <c:pt idx="225">
                  <c:v>151300</c:v>
                </c:pt>
                <c:pt idx="226">
                  <c:v>152812</c:v>
                </c:pt>
                <c:pt idx="227">
                  <c:v>154368</c:v>
                </c:pt>
                <c:pt idx="228">
                  <c:v>155968</c:v>
                </c:pt>
                <c:pt idx="229">
                  <c:v>157612</c:v>
                </c:pt>
                <c:pt idx="230">
                  <c:v>159300</c:v>
                </c:pt>
                <c:pt idx="231">
                  <c:v>161032</c:v>
                </c:pt>
                <c:pt idx="232">
                  <c:v>162808</c:v>
                </c:pt>
                <c:pt idx="233">
                  <c:v>164628</c:v>
                </c:pt>
                <c:pt idx="234">
                  <c:v>166492</c:v>
                </c:pt>
                <c:pt idx="235">
                  <c:v>168400</c:v>
                </c:pt>
                <c:pt idx="236">
                  <c:v>170352</c:v>
                </c:pt>
                <c:pt idx="237">
                  <c:v>172348</c:v>
                </c:pt>
                <c:pt idx="238">
                  <c:v>174388</c:v>
                </c:pt>
                <c:pt idx="239">
                  <c:v>176472</c:v>
                </c:pt>
                <c:pt idx="240">
                  <c:v>178600</c:v>
                </c:pt>
                <c:pt idx="241">
                  <c:v>180765.88</c:v>
                </c:pt>
                <c:pt idx="242">
                  <c:v>182963.5</c:v>
                </c:pt>
                <c:pt idx="243">
                  <c:v>185192.88</c:v>
                </c:pt>
                <c:pt idx="244">
                  <c:v>187454</c:v>
                </c:pt>
                <c:pt idx="245">
                  <c:v>189746.88</c:v>
                </c:pt>
                <c:pt idx="246">
                  <c:v>192071.5</c:v>
                </c:pt>
                <c:pt idx="247">
                  <c:v>194427.88</c:v>
                </c:pt>
                <c:pt idx="248">
                  <c:v>196816</c:v>
                </c:pt>
                <c:pt idx="249">
                  <c:v>199235.88</c:v>
                </c:pt>
                <c:pt idx="250">
                  <c:v>201687.5</c:v>
                </c:pt>
                <c:pt idx="251">
                  <c:v>204170.88</c:v>
                </c:pt>
                <c:pt idx="252">
                  <c:v>206686</c:v>
                </c:pt>
                <c:pt idx="253">
                  <c:v>209232.88</c:v>
                </c:pt>
                <c:pt idx="254">
                  <c:v>211811.5</c:v>
                </c:pt>
                <c:pt idx="255">
                  <c:v>214421.88</c:v>
                </c:pt>
                <c:pt idx="256">
                  <c:v>217064</c:v>
                </c:pt>
                <c:pt idx="257">
                  <c:v>219737.88</c:v>
                </c:pt>
                <c:pt idx="258">
                  <c:v>222443.5</c:v>
                </c:pt>
                <c:pt idx="259">
                  <c:v>225180.88</c:v>
                </c:pt>
                <c:pt idx="260">
                  <c:v>227950</c:v>
                </c:pt>
                <c:pt idx="261">
                  <c:v>230751.5</c:v>
                </c:pt>
                <c:pt idx="262">
                  <c:v>233586</c:v>
                </c:pt>
                <c:pt idx="263">
                  <c:v>236453.5</c:v>
                </c:pt>
                <c:pt idx="264">
                  <c:v>239354</c:v>
                </c:pt>
                <c:pt idx="265">
                  <c:v>242287.5</c:v>
                </c:pt>
                <c:pt idx="266">
                  <c:v>245254</c:v>
                </c:pt>
                <c:pt idx="267">
                  <c:v>248253.5</c:v>
                </c:pt>
                <c:pt idx="268">
                  <c:v>251286</c:v>
                </c:pt>
                <c:pt idx="269">
                  <c:v>254351.5</c:v>
                </c:pt>
                <c:pt idx="270">
                  <c:v>257450</c:v>
                </c:pt>
                <c:pt idx="271">
                  <c:v>260581.5</c:v>
                </c:pt>
                <c:pt idx="272">
                  <c:v>263746</c:v>
                </c:pt>
                <c:pt idx="273">
                  <c:v>266943.5</c:v>
                </c:pt>
                <c:pt idx="274">
                  <c:v>270174</c:v>
                </c:pt>
                <c:pt idx="275">
                  <c:v>273437.5</c:v>
                </c:pt>
                <c:pt idx="276">
                  <c:v>276734</c:v>
                </c:pt>
                <c:pt idx="277">
                  <c:v>280063.5</c:v>
                </c:pt>
                <c:pt idx="278">
                  <c:v>283426</c:v>
                </c:pt>
                <c:pt idx="279">
                  <c:v>286821.5</c:v>
                </c:pt>
                <c:pt idx="280">
                  <c:v>290250</c:v>
                </c:pt>
                <c:pt idx="281">
                  <c:v>293709.88</c:v>
                </c:pt>
                <c:pt idx="282">
                  <c:v>297199.5</c:v>
                </c:pt>
                <c:pt idx="283">
                  <c:v>300718.88</c:v>
                </c:pt>
                <c:pt idx="284">
                  <c:v>304268</c:v>
                </c:pt>
                <c:pt idx="285">
                  <c:v>307846.88</c:v>
                </c:pt>
                <c:pt idx="286">
                  <c:v>311455.5</c:v>
                </c:pt>
                <c:pt idx="287">
                  <c:v>315093.88</c:v>
                </c:pt>
                <c:pt idx="288">
                  <c:v>318762</c:v>
                </c:pt>
                <c:pt idx="289">
                  <c:v>322459.88</c:v>
                </c:pt>
                <c:pt idx="290">
                  <c:v>326187.5</c:v>
                </c:pt>
                <c:pt idx="291">
                  <c:v>329944.88</c:v>
                </c:pt>
                <c:pt idx="292">
                  <c:v>333732</c:v>
                </c:pt>
                <c:pt idx="293">
                  <c:v>337548.88</c:v>
                </c:pt>
                <c:pt idx="294">
                  <c:v>341395.5</c:v>
                </c:pt>
                <c:pt idx="295">
                  <c:v>345271.88</c:v>
                </c:pt>
                <c:pt idx="296">
                  <c:v>349178</c:v>
                </c:pt>
                <c:pt idx="297">
                  <c:v>353113.88</c:v>
                </c:pt>
                <c:pt idx="298">
                  <c:v>357079.5</c:v>
                </c:pt>
                <c:pt idx="299">
                  <c:v>361074.88</c:v>
                </c:pt>
                <c:pt idx="300">
                  <c:v>365100</c:v>
                </c:pt>
                <c:pt idx="301">
                  <c:v>369158.63</c:v>
                </c:pt>
                <c:pt idx="302">
                  <c:v>373254.5</c:v>
                </c:pt>
                <c:pt idx="303">
                  <c:v>377387.63</c:v>
                </c:pt>
                <c:pt idx="304">
                  <c:v>381558</c:v>
                </c:pt>
                <c:pt idx="305">
                  <c:v>385765.63</c:v>
                </c:pt>
                <c:pt idx="306">
                  <c:v>390010.5</c:v>
                </c:pt>
                <c:pt idx="307">
                  <c:v>394292.63</c:v>
                </c:pt>
                <c:pt idx="308">
                  <c:v>398612</c:v>
                </c:pt>
                <c:pt idx="309">
                  <c:v>402968.63</c:v>
                </c:pt>
                <c:pt idx="310">
                  <c:v>407362.5</c:v>
                </c:pt>
                <c:pt idx="311">
                  <c:v>411793.63</c:v>
                </c:pt>
                <c:pt idx="312">
                  <c:v>416262</c:v>
                </c:pt>
                <c:pt idx="313">
                  <c:v>420767.63</c:v>
                </c:pt>
                <c:pt idx="314">
                  <c:v>425310.5</c:v>
                </c:pt>
                <c:pt idx="315">
                  <c:v>429890.63</c:v>
                </c:pt>
                <c:pt idx="316">
                  <c:v>434508</c:v>
                </c:pt>
                <c:pt idx="317">
                  <c:v>439162.63</c:v>
                </c:pt>
                <c:pt idx="318">
                  <c:v>443854.5</c:v>
                </c:pt>
                <c:pt idx="319">
                  <c:v>448583.63</c:v>
                </c:pt>
                <c:pt idx="320">
                  <c:v>453350</c:v>
                </c:pt>
                <c:pt idx="321">
                  <c:v>458154.38</c:v>
                </c:pt>
                <c:pt idx="322">
                  <c:v>462997.5</c:v>
                </c:pt>
                <c:pt idx="323">
                  <c:v>467879.38</c:v>
                </c:pt>
                <c:pt idx="324">
                  <c:v>472800</c:v>
                </c:pt>
                <c:pt idx="325">
                  <c:v>477759.38</c:v>
                </c:pt>
                <c:pt idx="326">
                  <c:v>482757.5</c:v>
                </c:pt>
                <c:pt idx="327">
                  <c:v>487794.38</c:v>
                </c:pt>
                <c:pt idx="328">
                  <c:v>492870</c:v>
                </c:pt>
                <c:pt idx="329">
                  <c:v>497984.38</c:v>
                </c:pt>
                <c:pt idx="330">
                  <c:v>503137.5</c:v>
                </c:pt>
                <c:pt idx="331">
                  <c:v>508329.38</c:v>
                </c:pt>
                <c:pt idx="332">
                  <c:v>513560</c:v>
                </c:pt>
                <c:pt idx="333">
                  <c:v>518829.38</c:v>
                </c:pt>
                <c:pt idx="334">
                  <c:v>524137.5</c:v>
                </c:pt>
                <c:pt idx="335">
                  <c:v>529484.38</c:v>
                </c:pt>
                <c:pt idx="336">
                  <c:v>534870</c:v>
                </c:pt>
                <c:pt idx="337">
                  <c:v>540294.38</c:v>
                </c:pt>
                <c:pt idx="338">
                  <c:v>545757.5</c:v>
                </c:pt>
                <c:pt idx="339">
                  <c:v>551259.38</c:v>
                </c:pt>
                <c:pt idx="340">
                  <c:v>556800</c:v>
                </c:pt>
                <c:pt idx="341">
                  <c:v>562377.63</c:v>
                </c:pt>
                <c:pt idx="342">
                  <c:v>567990.5</c:v>
                </c:pt>
                <c:pt idx="343">
                  <c:v>573638.63</c:v>
                </c:pt>
                <c:pt idx="344">
                  <c:v>579322</c:v>
                </c:pt>
                <c:pt idx="345">
                  <c:v>585040.63</c:v>
                </c:pt>
                <c:pt idx="346">
                  <c:v>590794.5</c:v>
                </c:pt>
                <c:pt idx="347">
                  <c:v>596583.63</c:v>
                </c:pt>
                <c:pt idx="348">
                  <c:v>602408</c:v>
                </c:pt>
                <c:pt idx="349">
                  <c:v>608267.63</c:v>
                </c:pt>
                <c:pt idx="350">
                  <c:v>614162.5</c:v>
                </c:pt>
                <c:pt idx="351">
                  <c:v>620092.63</c:v>
                </c:pt>
                <c:pt idx="352">
                  <c:v>626058</c:v>
                </c:pt>
                <c:pt idx="353">
                  <c:v>632058.63</c:v>
                </c:pt>
                <c:pt idx="354">
                  <c:v>638094.5</c:v>
                </c:pt>
                <c:pt idx="355">
                  <c:v>644165.63</c:v>
                </c:pt>
                <c:pt idx="356">
                  <c:v>650272</c:v>
                </c:pt>
                <c:pt idx="357">
                  <c:v>656413.63</c:v>
                </c:pt>
                <c:pt idx="358">
                  <c:v>662590.5</c:v>
                </c:pt>
                <c:pt idx="359">
                  <c:v>668802.63</c:v>
                </c:pt>
                <c:pt idx="360">
                  <c:v>675050</c:v>
                </c:pt>
                <c:pt idx="361">
                  <c:v>681336.25</c:v>
                </c:pt>
                <c:pt idx="362">
                  <c:v>687665</c:v>
                </c:pt>
                <c:pt idx="363">
                  <c:v>694036.25</c:v>
                </c:pt>
                <c:pt idx="364">
                  <c:v>700450</c:v>
                </c:pt>
                <c:pt idx="365">
                  <c:v>706906.25</c:v>
                </c:pt>
                <c:pt idx="366">
                  <c:v>713405</c:v>
                </c:pt>
                <c:pt idx="367">
                  <c:v>719946.25</c:v>
                </c:pt>
                <c:pt idx="368">
                  <c:v>726530</c:v>
                </c:pt>
                <c:pt idx="369">
                  <c:v>733156.25</c:v>
                </c:pt>
                <c:pt idx="370">
                  <c:v>739825</c:v>
                </c:pt>
                <c:pt idx="371">
                  <c:v>746536.25</c:v>
                </c:pt>
                <c:pt idx="372">
                  <c:v>753290</c:v>
                </c:pt>
                <c:pt idx="373">
                  <c:v>760086.25</c:v>
                </c:pt>
                <c:pt idx="374">
                  <c:v>766925</c:v>
                </c:pt>
                <c:pt idx="375">
                  <c:v>773806.25</c:v>
                </c:pt>
                <c:pt idx="376">
                  <c:v>780730</c:v>
                </c:pt>
                <c:pt idx="377">
                  <c:v>787696.25</c:v>
                </c:pt>
                <c:pt idx="378">
                  <c:v>794705</c:v>
                </c:pt>
                <c:pt idx="379">
                  <c:v>801756.25</c:v>
                </c:pt>
                <c:pt idx="380">
                  <c:v>808850</c:v>
                </c:pt>
                <c:pt idx="381">
                  <c:v>815991.88</c:v>
                </c:pt>
                <c:pt idx="382">
                  <c:v>823187.5</c:v>
                </c:pt>
                <c:pt idx="383">
                  <c:v>830436.88</c:v>
                </c:pt>
                <c:pt idx="384">
                  <c:v>837740</c:v>
                </c:pt>
                <c:pt idx="385">
                  <c:v>845096.88</c:v>
                </c:pt>
                <c:pt idx="386">
                  <c:v>852507.5</c:v>
                </c:pt>
                <c:pt idx="387">
                  <c:v>859971.88</c:v>
                </c:pt>
                <c:pt idx="388">
                  <c:v>867490</c:v>
                </c:pt>
                <c:pt idx="389">
                  <c:v>875061.88</c:v>
                </c:pt>
                <c:pt idx="390">
                  <c:v>882687.5</c:v>
                </c:pt>
                <c:pt idx="391">
                  <c:v>890366.88</c:v>
                </c:pt>
                <c:pt idx="392">
                  <c:v>898100</c:v>
                </c:pt>
                <c:pt idx="393">
                  <c:v>905886.88</c:v>
                </c:pt>
                <c:pt idx="394">
                  <c:v>913727.5</c:v>
                </c:pt>
                <c:pt idx="395">
                  <c:v>921621.88</c:v>
                </c:pt>
                <c:pt idx="396">
                  <c:v>929570</c:v>
                </c:pt>
                <c:pt idx="397">
                  <c:v>937571.88</c:v>
                </c:pt>
                <c:pt idx="398">
                  <c:v>945627.5</c:v>
                </c:pt>
                <c:pt idx="399">
                  <c:v>953736.88</c:v>
                </c:pt>
                <c:pt idx="400">
                  <c:v>961900</c:v>
                </c:pt>
                <c:pt idx="401">
                  <c:v>970116.5</c:v>
                </c:pt>
                <c:pt idx="402">
                  <c:v>978386</c:v>
                </c:pt>
                <c:pt idx="403">
                  <c:v>986708.5</c:v>
                </c:pt>
                <c:pt idx="404">
                  <c:v>995084</c:v>
                </c:pt>
                <c:pt idx="405">
                  <c:v>1003512.5</c:v>
                </c:pt>
                <c:pt idx="406">
                  <c:v>1011994</c:v>
                </c:pt>
                <c:pt idx="407">
                  <c:v>1020528.5</c:v>
                </c:pt>
                <c:pt idx="408">
                  <c:v>1029116</c:v>
                </c:pt>
                <c:pt idx="409">
                  <c:v>1037756.5</c:v>
                </c:pt>
                <c:pt idx="410">
                  <c:v>1046450</c:v>
                </c:pt>
                <c:pt idx="411">
                  <c:v>1055196.5</c:v>
                </c:pt>
                <c:pt idx="412">
                  <c:v>1063996</c:v>
                </c:pt>
                <c:pt idx="413">
                  <c:v>1072848.5</c:v>
                </c:pt>
                <c:pt idx="414">
                  <c:v>1081754</c:v>
                </c:pt>
                <c:pt idx="415">
                  <c:v>1090712.5</c:v>
                </c:pt>
                <c:pt idx="416">
                  <c:v>1099724</c:v>
                </c:pt>
                <c:pt idx="417">
                  <c:v>1108788.5</c:v>
                </c:pt>
                <c:pt idx="418">
                  <c:v>1117906</c:v>
                </c:pt>
                <c:pt idx="419">
                  <c:v>1127076.5</c:v>
                </c:pt>
                <c:pt idx="420">
                  <c:v>1136300</c:v>
                </c:pt>
                <c:pt idx="421">
                  <c:v>1145574.25</c:v>
                </c:pt>
                <c:pt idx="422">
                  <c:v>1154897</c:v>
                </c:pt>
                <c:pt idx="423">
                  <c:v>1164268.25</c:v>
                </c:pt>
                <c:pt idx="424">
                  <c:v>1173688</c:v>
                </c:pt>
                <c:pt idx="425">
                  <c:v>1183156.25</c:v>
                </c:pt>
                <c:pt idx="426">
                  <c:v>1192673</c:v>
                </c:pt>
                <c:pt idx="427">
                  <c:v>1202238.25</c:v>
                </c:pt>
                <c:pt idx="428">
                  <c:v>1211852</c:v>
                </c:pt>
                <c:pt idx="429">
                  <c:v>1221514.25</c:v>
                </c:pt>
                <c:pt idx="430">
                  <c:v>1231225</c:v>
                </c:pt>
                <c:pt idx="431">
                  <c:v>1240984.25</c:v>
                </c:pt>
                <c:pt idx="432">
                  <c:v>1250792</c:v>
                </c:pt>
                <c:pt idx="433">
                  <c:v>1260648.25</c:v>
                </c:pt>
                <c:pt idx="434">
                  <c:v>1270553</c:v>
                </c:pt>
                <c:pt idx="435">
                  <c:v>1280506.25</c:v>
                </c:pt>
                <c:pt idx="436">
                  <c:v>1290508</c:v>
                </c:pt>
                <c:pt idx="437">
                  <c:v>1300558.25</c:v>
                </c:pt>
                <c:pt idx="438">
                  <c:v>1310657</c:v>
                </c:pt>
                <c:pt idx="439">
                  <c:v>1320804.25</c:v>
                </c:pt>
                <c:pt idx="440">
                  <c:v>1331000</c:v>
                </c:pt>
                <c:pt idx="441">
                  <c:v>1341244.25</c:v>
                </c:pt>
                <c:pt idx="442">
                  <c:v>1351537</c:v>
                </c:pt>
                <c:pt idx="443">
                  <c:v>1361878.25</c:v>
                </c:pt>
                <c:pt idx="444">
                  <c:v>1372268</c:v>
                </c:pt>
                <c:pt idx="445">
                  <c:v>1382706.25</c:v>
                </c:pt>
                <c:pt idx="446">
                  <c:v>1393193</c:v>
                </c:pt>
                <c:pt idx="447">
                  <c:v>1403728.25</c:v>
                </c:pt>
                <c:pt idx="448">
                  <c:v>1414312</c:v>
                </c:pt>
                <c:pt idx="449">
                  <c:v>1424944.25</c:v>
                </c:pt>
                <c:pt idx="450">
                  <c:v>1435625</c:v>
                </c:pt>
                <c:pt idx="451">
                  <c:v>1446354.25</c:v>
                </c:pt>
                <c:pt idx="452">
                  <c:v>1457132</c:v>
                </c:pt>
                <c:pt idx="453">
                  <c:v>1467958.25</c:v>
                </c:pt>
                <c:pt idx="454">
                  <c:v>1478833</c:v>
                </c:pt>
                <c:pt idx="455">
                  <c:v>1489756.25</c:v>
                </c:pt>
                <c:pt idx="456">
                  <c:v>1500728</c:v>
                </c:pt>
                <c:pt idx="457">
                  <c:v>1511748.25</c:v>
                </c:pt>
                <c:pt idx="458">
                  <c:v>1522817</c:v>
                </c:pt>
                <c:pt idx="459">
                  <c:v>1533934.25</c:v>
                </c:pt>
                <c:pt idx="460">
                  <c:v>1545100</c:v>
                </c:pt>
                <c:pt idx="461">
                  <c:v>1556323.13</c:v>
                </c:pt>
                <c:pt idx="462">
                  <c:v>1567612.5</c:v>
                </c:pt>
                <c:pt idx="463">
                  <c:v>1578968.13</c:v>
                </c:pt>
                <c:pt idx="464">
                  <c:v>1590390</c:v>
                </c:pt>
                <c:pt idx="465">
                  <c:v>1601878.13</c:v>
                </c:pt>
                <c:pt idx="466">
                  <c:v>1613432.5</c:v>
                </c:pt>
                <c:pt idx="467">
                  <c:v>1625053.13</c:v>
                </c:pt>
                <c:pt idx="468">
                  <c:v>1636740</c:v>
                </c:pt>
                <c:pt idx="469">
                  <c:v>1648493.13</c:v>
                </c:pt>
                <c:pt idx="470">
                  <c:v>1660312.5</c:v>
                </c:pt>
                <c:pt idx="471">
                  <c:v>1672198.13</c:v>
                </c:pt>
                <c:pt idx="472">
                  <c:v>1684150</c:v>
                </c:pt>
                <c:pt idx="473">
                  <c:v>1696168.13</c:v>
                </c:pt>
                <c:pt idx="474">
                  <c:v>1708252.5</c:v>
                </c:pt>
                <c:pt idx="475">
                  <c:v>1720403.13</c:v>
                </c:pt>
                <c:pt idx="476">
                  <c:v>1732620</c:v>
                </c:pt>
                <c:pt idx="477">
                  <c:v>1744903.13</c:v>
                </c:pt>
                <c:pt idx="478">
                  <c:v>1757252.5</c:v>
                </c:pt>
                <c:pt idx="479">
                  <c:v>1769668.13</c:v>
                </c:pt>
                <c:pt idx="480">
                  <c:v>1782150</c:v>
                </c:pt>
                <c:pt idx="481">
                  <c:v>1794693.25</c:v>
                </c:pt>
                <c:pt idx="482">
                  <c:v>1807293</c:v>
                </c:pt>
                <c:pt idx="483">
                  <c:v>1819949.25</c:v>
                </c:pt>
                <c:pt idx="484">
                  <c:v>1832662</c:v>
                </c:pt>
                <c:pt idx="485">
                  <c:v>1845431.25</c:v>
                </c:pt>
                <c:pt idx="486">
                  <c:v>1858257</c:v>
                </c:pt>
                <c:pt idx="487">
                  <c:v>1871139.25</c:v>
                </c:pt>
                <c:pt idx="488">
                  <c:v>1884078</c:v>
                </c:pt>
                <c:pt idx="489">
                  <c:v>1897073.25</c:v>
                </c:pt>
                <c:pt idx="490">
                  <c:v>1910125</c:v>
                </c:pt>
                <c:pt idx="491">
                  <c:v>1923233.25</c:v>
                </c:pt>
                <c:pt idx="492">
                  <c:v>1936398</c:v>
                </c:pt>
                <c:pt idx="493">
                  <c:v>1949619.25</c:v>
                </c:pt>
                <c:pt idx="494">
                  <c:v>1962897</c:v>
                </c:pt>
                <c:pt idx="495">
                  <c:v>1976231.25</c:v>
                </c:pt>
                <c:pt idx="496">
                  <c:v>1989622</c:v>
                </c:pt>
                <c:pt idx="497">
                  <c:v>2003069.25</c:v>
                </c:pt>
                <c:pt idx="498">
                  <c:v>2016573</c:v>
                </c:pt>
                <c:pt idx="499">
                  <c:v>2030133.25</c:v>
                </c:pt>
                <c:pt idx="500">
                  <c:v>2043750</c:v>
                </c:pt>
                <c:pt idx="501">
                  <c:v>2057427.75</c:v>
                </c:pt>
                <c:pt idx="502">
                  <c:v>2071171</c:v>
                </c:pt>
                <c:pt idx="503">
                  <c:v>2084979.75</c:v>
                </c:pt>
                <c:pt idx="504">
                  <c:v>2098854</c:v>
                </c:pt>
                <c:pt idx="505">
                  <c:v>2112793.75</c:v>
                </c:pt>
                <c:pt idx="506">
                  <c:v>2126799</c:v>
                </c:pt>
                <c:pt idx="507">
                  <c:v>2140869.75</c:v>
                </c:pt>
                <c:pt idx="508">
                  <c:v>2155006</c:v>
                </c:pt>
                <c:pt idx="509">
                  <c:v>2169207.75</c:v>
                </c:pt>
                <c:pt idx="510">
                  <c:v>2183475</c:v>
                </c:pt>
                <c:pt idx="511">
                  <c:v>2197807.75</c:v>
                </c:pt>
                <c:pt idx="512">
                  <c:v>2212206</c:v>
                </c:pt>
                <c:pt idx="513">
                  <c:v>2226669.75</c:v>
                </c:pt>
                <c:pt idx="514">
                  <c:v>2241199</c:v>
                </c:pt>
                <c:pt idx="515">
                  <c:v>2255793.75</c:v>
                </c:pt>
                <c:pt idx="516">
                  <c:v>2270454</c:v>
                </c:pt>
                <c:pt idx="517">
                  <c:v>2285179.75</c:v>
                </c:pt>
                <c:pt idx="518">
                  <c:v>2299971</c:v>
                </c:pt>
                <c:pt idx="519">
                  <c:v>2314827.75</c:v>
                </c:pt>
                <c:pt idx="520">
                  <c:v>2329750</c:v>
                </c:pt>
                <c:pt idx="521">
                  <c:v>2344735.88</c:v>
                </c:pt>
                <c:pt idx="522">
                  <c:v>2359783.5</c:v>
                </c:pt>
                <c:pt idx="523">
                  <c:v>2374892.88</c:v>
                </c:pt>
                <c:pt idx="524">
                  <c:v>2390064</c:v>
                </c:pt>
                <c:pt idx="525">
                  <c:v>2405296.88</c:v>
                </c:pt>
                <c:pt idx="526">
                  <c:v>2420591.5</c:v>
                </c:pt>
                <c:pt idx="527">
                  <c:v>2435947.88</c:v>
                </c:pt>
                <c:pt idx="528">
                  <c:v>2451366</c:v>
                </c:pt>
                <c:pt idx="529">
                  <c:v>2466845.88</c:v>
                </c:pt>
                <c:pt idx="530">
                  <c:v>2482387.5</c:v>
                </c:pt>
                <c:pt idx="531">
                  <c:v>2497990.88</c:v>
                </c:pt>
                <c:pt idx="532">
                  <c:v>2513656</c:v>
                </c:pt>
                <c:pt idx="533">
                  <c:v>2529382.88</c:v>
                </c:pt>
                <c:pt idx="534">
                  <c:v>2545171.5</c:v>
                </c:pt>
                <c:pt idx="535">
                  <c:v>2561021.88</c:v>
                </c:pt>
                <c:pt idx="536">
                  <c:v>2576934</c:v>
                </c:pt>
                <c:pt idx="537">
                  <c:v>2592907.88</c:v>
                </c:pt>
                <c:pt idx="538">
                  <c:v>2608943.5</c:v>
                </c:pt>
                <c:pt idx="539">
                  <c:v>2625040.88</c:v>
                </c:pt>
                <c:pt idx="540">
                  <c:v>2641200</c:v>
                </c:pt>
                <c:pt idx="541">
                  <c:v>2657426.5</c:v>
                </c:pt>
                <c:pt idx="542">
                  <c:v>2673726</c:v>
                </c:pt>
                <c:pt idx="543">
                  <c:v>2690098.5</c:v>
                </c:pt>
                <c:pt idx="544">
                  <c:v>2706544</c:v>
                </c:pt>
                <c:pt idx="545">
                  <c:v>2723062.5</c:v>
                </c:pt>
                <c:pt idx="546">
                  <c:v>2739654</c:v>
                </c:pt>
                <c:pt idx="547">
                  <c:v>2756318.5</c:v>
                </c:pt>
                <c:pt idx="548">
                  <c:v>2773056</c:v>
                </c:pt>
                <c:pt idx="549">
                  <c:v>2789866.5</c:v>
                </c:pt>
                <c:pt idx="550">
                  <c:v>2806750</c:v>
                </c:pt>
                <c:pt idx="551">
                  <c:v>2823706.5</c:v>
                </c:pt>
                <c:pt idx="552">
                  <c:v>2840736</c:v>
                </c:pt>
                <c:pt idx="553">
                  <c:v>2857838.5</c:v>
                </c:pt>
                <c:pt idx="554">
                  <c:v>2875014</c:v>
                </c:pt>
                <c:pt idx="555">
                  <c:v>2892262.5</c:v>
                </c:pt>
                <c:pt idx="556">
                  <c:v>2909584</c:v>
                </c:pt>
                <c:pt idx="557">
                  <c:v>2926978.5</c:v>
                </c:pt>
                <c:pt idx="558">
                  <c:v>2944446</c:v>
                </c:pt>
                <c:pt idx="559">
                  <c:v>2961986.5</c:v>
                </c:pt>
                <c:pt idx="560">
                  <c:v>2979600</c:v>
                </c:pt>
                <c:pt idx="561">
                  <c:v>2997291</c:v>
                </c:pt>
                <c:pt idx="562">
                  <c:v>3015064</c:v>
                </c:pt>
                <c:pt idx="563">
                  <c:v>3032919</c:v>
                </c:pt>
                <c:pt idx="564">
                  <c:v>3050856</c:v>
                </c:pt>
                <c:pt idx="565">
                  <c:v>3068875</c:v>
                </c:pt>
                <c:pt idx="566">
                  <c:v>3086976</c:v>
                </c:pt>
                <c:pt idx="567">
                  <c:v>3105159</c:v>
                </c:pt>
                <c:pt idx="568">
                  <c:v>3123424</c:v>
                </c:pt>
                <c:pt idx="569">
                  <c:v>3141771</c:v>
                </c:pt>
                <c:pt idx="570">
                  <c:v>3160200</c:v>
                </c:pt>
                <c:pt idx="571">
                  <c:v>3178711</c:v>
                </c:pt>
                <c:pt idx="572">
                  <c:v>3197304</c:v>
                </c:pt>
                <c:pt idx="573">
                  <c:v>3215979</c:v>
                </c:pt>
                <c:pt idx="574">
                  <c:v>3234736</c:v>
                </c:pt>
                <c:pt idx="575">
                  <c:v>3253575</c:v>
                </c:pt>
                <c:pt idx="576">
                  <c:v>3272496</c:v>
                </c:pt>
                <c:pt idx="577">
                  <c:v>3291499</c:v>
                </c:pt>
                <c:pt idx="578">
                  <c:v>3310584</c:v>
                </c:pt>
                <c:pt idx="579">
                  <c:v>3329751</c:v>
                </c:pt>
                <c:pt idx="580">
                  <c:v>3349000</c:v>
                </c:pt>
                <c:pt idx="581">
                  <c:v>3368333</c:v>
                </c:pt>
                <c:pt idx="582">
                  <c:v>3387752</c:v>
                </c:pt>
                <c:pt idx="583">
                  <c:v>3407257</c:v>
                </c:pt>
                <c:pt idx="584">
                  <c:v>3426848</c:v>
                </c:pt>
                <c:pt idx="585">
                  <c:v>3446525</c:v>
                </c:pt>
                <c:pt idx="586">
                  <c:v>3466288</c:v>
                </c:pt>
                <c:pt idx="587">
                  <c:v>3486137</c:v>
                </c:pt>
                <c:pt idx="588">
                  <c:v>3506072</c:v>
                </c:pt>
                <c:pt idx="589">
                  <c:v>3526093</c:v>
                </c:pt>
                <c:pt idx="590">
                  <c:v>3546200</c:v>
                </c:pt>
                <c:pt idx="591">
                  <c:v>3566393</c:v>
                </c:pt>
                <c:pt idx="592">
                  <c:v>3586672</c:v>
                </c:pt>
                <c:pt idx="593">
                  <c:v>3607037</c:v>
                </c:pt>
                <c:pt idx="594">
                  <c:v>3627488</c:v>
                </c:pt>
                <c:pt idx="595">
                  <c:v>3648025</c:v>
                </c:pt>
                <c:pt idx="596">
                  <c:v>3668648</c:v>
                </c:pt>
                <c:pt idx="597">
                  <c:v>3689357</c:v>
                </c:pt>
                <c:pt idx="598">
                  <c:v>3710152</c:v>
                </c:pt>
                <c:pt idx="599">
                  <c:v>3731033</c:v>
                </c:pt>
                <c:pt idx="600">
                  <c:v>3752000</c:v>
                </c:pt>
                <c:pt idx="601">
                  <c:v>3773044</c:v>
                </c:pt>
                <c:pt idx="602">
                  <c:v>3794156</c:v>
                </c:pt>
                <c:pt idx="603">
                  <c:v>3815336</c:v>
                </c:pt>
                <c:pt idx="604">
                  <c:v>3836584</c:v>
                </c:pt>
                <c:pt idx="605">
                  <c:v>3857900</c:v>
                </c:pt>
                <c:pt idx="606">
                  <c:v>3879284</c:v>
                </c:pt>
                <c:pt idx="607">
                  <c:v>3900736</c:v>
                </c:pt>
                <c:pt idx="608">
                  <c:v>3922256</c:v>
                </c:pt>
                <c:pt idx="609">
                  <c:v>3943844</c:v>
                </c:pt>
                <c:pt idx="610">
                  <c:v>3965500</c:v>
                </c:pt>
                <c:pt idx="611">
                  <c:v>3987224</c:v>
                </c:pt>
                <c:pt idx="612">
                  <c:v>4009016</c:v>
                </c:pt>
                <c:pt idx="613">
                  <c:v>4030876</c:v>
                </c:pt>
                <c:pt idx="614">
                  <c:v>4052804</c:v>
                </c:pt>
                <c:pt idx="615">
                  <c:v>4074800</c:v>
                </c:pt>
                <c:pt idx="616">
                  <c:v>4096864</c:v>
                </c:pt>
                <c:pt idx="617">
                  <c:v>4118996</c:v>
                </c:pt>
                <c:pt idx="618">
                  <c:v>4141196</c:v>
                </c:pt>
                <c:pt idx="619">
                  <c:v>4163464</c:v>
                </c:pt>
                <c:pt idx="620">
                  <c:v>1000000000</c:v>
                </c:pt>
              </c:numCache>
            </c:numRef>
          </c:xVal>
          <c:yVal>
            <c:numRef>
              <c:f>'FlamingGorge-Elevation-Area'!$D$5:$D$625</c:f>
              <c:numCache>
                <c:formatCode>General</c:formatCode>
                <c:ptCount val="621"/>
                <c:pt idx="0">
                  <c:v>720</c:v>
                </c:pt>
                <c:pt idx="1">
                  <c:v>723.5</c:v>
                </c:pt>
                <c:pt idx="2">
                  <c:v>727</c:v>
                </c:pt>
                <c:pt idx="3">
                  <c:v>730.5</c:v>
                </c:pt>
                <c:pt idx="4">
                  <c:v>734</c:v>
                </c:pt>
                <c:pt idx="5">
                  <c:v>737.5</c:v>
                </c:pt>
                <c:pt idx="6">
                  <c:v>741</c:v>
                </c:pt>
                <c:pt idx="7">
                  <c:v>744.5</c:v>
                </c:pt>
                <c:pt idx="8">
                  <c:v>748</c:v>
                </c:pt>
                <c:pt idx="9">
                  <c:v>751.5</c:v>
                </c:pt>
                <c:pt idx="10">
                  <c:v>755</c:v>
                </c:pt>
                <c:pt idx="11">
                  <c:v>758.5</c:v>
                </c:pt>
                <c:pt idx="12">
                  <c:v>762</c:v>
                </c:pt>
                <c:pt idx="13">
                  <c:v>765.5</c:v>
                </c:pt>
                <c:pt idx="14">
                  <c:v>769</c:v>
                </c:pt>
                <c:pt idx="15">
                  <c:v>772.5</c:v>
                </c:pt>
                <c:pt idx="16">
                  <c:v>776</c:v>
                </c:pt>
                <c:pt idx="17">
                  <c:v>779.5</c:v>
                </c:pt>
                <c:pt idx="18">
                  <c:v>783</c:v>
                </c:pt>
                <c:pt idx="19">
                  <c:v>786.5</c:v>
                </c:pt>
                <c:pt idx="20">
                  <c:v>790</c:v>
                </c:pt>
                <c:pt idx="21">
                  <c:v>794</c:v>
                </c:pt>
                <c:pt idx="22">
                  <c:v>798</c:v>
                </c:pt>
                <c:pt idx="23">
                  <c:v>802</c:v>
                </c:pt>
                <c:pt idx="24">
                  <c:v>806</c:v>
                </c:pt>
                <c:pt idx="25">
                  <c:v>810</c:v>
                </c:pt>
                <c:pt idx="26">
                  <c:v>814</c:v>
                </c:pt>
                <c:pt idx="27">
                  <c:v>818</c:v>
                </c:pt>
                <c:pt idx="28">
                  <c:v>822</c:v>
                </c:pt>
                <c:pt idx="29">
                  <c:v>826</c:v>
                </c:pt>
                <c:pt idx="30">
                  <c:v>830</c:v>
                </c:pt>
                <c:pt idx="31">
                  <c:v>834</c:v>
                </c:pt>
                <c:pt idx="32">
                  <c:v>838</c:v>
                </c:pt>
                <c:pt idx="33">
                  <c:v>842</c:v>
                </c:pt>
                <c:pt idx="34">
                  <c:v>846</c:v>
                </c:pt>
                <c:pt idx="35">
                  <c:v>850</c:v>
                </c:pt>
                <c:pt idx="36">
                  <c:v>854</c:v>
                </c:pt>
                <c:pt idx="37">
                  <c:v>858</c:v>
                </c:pt>
                <c:pt idx="38">
                  <c:v>862</c:v>
                </c:pt>
                <c:pt idx="39">
                  <c:v>866</c:v>
                </c:pt>
                <c:pt idx="40">
                  <c:v>870</c:v>
                </c:pt>
                <c:pt idx="41">
                  <c:v>874</c:v>
                </c:pt>
                <c:pt idx="42">
                  <c:v>878</c:v>
                </c:pt>
                <c:pt idx="43">
                  <c:v>882</c:v>
                </c:pt>
                <c:pt idx="44">
                  <c:v>886</c:v>
                </c:pt>
                <c:pt idx="45">
                  <c:v>890</c:v>
                </c:pt>
                <c:pt idx="46">
                  <c:v>894</c:v>
                </c:pt>
                <c:pt idx="47">
                  <c:v>898</c:v>
                </c:pt>
                <c:pt idx="48">
                  <c:v>902</c:v>
                </c:pt>
                <c:pt idx="49">
                  <c:v>906</c:v>
                </c:pt>
                <c:pt idx="50">
                  <c:v>910</c:v>
                </c:pt>
                <c:pt idx="51">
                  <c:v>914</c:v>
                </c:pt>
                <c:pt idx="52">
                  <c:v>918</c:v>
                </c:pt>
                <c:pt idx="53">
                  <c:v>922</c:v>
                </c:pt>
                <c:pt idx="54">
                  <c:v>926</c:v>
                </c:pt>
                <c:pt idx="55">
                  <c:v>930</c:v>
                </c:pt>
                <c:pt idx="56">
                  <c:v>934</c:v>
                </c:pt>
                <c:pt idx="57">
                  <c:v>938</c:v>
                </c:pt>
                <c:pt idx="58">
                  <c:v>942</c:v>
                </c:pt>
                <c:pt idx="59">
                  <c:v>946</c:v>
                </c:pt>
                <c:pt idx="60">
                  <c:v>950</c:v>
                </c:pt>
                <c:pt idx="61">
                  <c:v>955.5</c:v>
                </c:pt>
                <c:pt idx="62">
                  <c:v>961</c:v>
                </c:pt>
                <c:pt idx="63">
                  <c:v>966.5</c:v>
                </c:pt>
                <c:pt idx="64">
                  <c:v>972</c:v>
                </c:pt>
                <c:pt idx="65">
                  <c:v>977.5</c:v>
                </c:pt>
                <c:pt idx="66">
                  <c:v>983</c:v>
                </c:pt>
                <c:pt idx="67">
                  <c:v>988.5</c:v>
                </c:pt>
                <c:pt idx="68">
                  <c:v>994</c:v>
                </c:pt>
                <c:pt idx="69">
                  <c:v>999.5</c:v>
                </c:pt>
                <c:pt idx="70">
                  <c:v>1005</c:v>
                </c:pt>
                <c:pt idx="71">
                  <c:v>1010.5</c:v>
                </c:pt>
                <c:pt idx="72">
                  <c:v>1016</c:v>
                </c:pt>
                <c:pt idx="73">
                  <c:v>1021.5</c:v>
                </c:pt>
                <c:pt idx="74">
                  <c:v>1027</c:v>
                </c:pt>
                <c:pt idx="75">
                  <c:v>1032.5</c:v>
                </c:pt>
                <c:pt idx="76">
                  <c:v>1038</c:v>
                </c:pt>
                <c:pt idx="77">
                  <c:v>1043.5</c:v>
                </c:pt>
                <c:pt idx="78">
                  <c:v>1049</c:v>
                </c:pt>
                <c:pt idx="79">
                  <c:v>1054.5</c:v>
                </c:pt>
                <c:pt idx="80">
                  <c:v>1060</c:v>
                </c:pt>
                <c:pt idx="81">
                  <c:v>1064.5</c:v>
                </c:pt>
                <c:pt idx="82">
                  <c:v>1069</c:v>
                </c:pt>
                <c:pt idx="83">
                  <c:v>1073.5</c:v>
                </c:pt>
                <c:pt idx="84">
                  <c:v>1078</c:v>
                </c:pt>
                <c:pt idx="85">
                  <c:v>1082.5</c:v>
                </c:pt>
                <c:pt idx="86">
                  <c:v>1087</c:v>
                </c:pt>
                <c:pt idx="87">
                  <c:v>1091.5</c:v>
                </c:pt>
                <c:pt idx="88">
                  <c:v>1096</c:v>
                </c:pt>
                <c:pt idx="89">
                  <c:v>1100.5</c:v>
                </c:pt>
                <c:pt idx="90">
                  <c:v>1105</c:v>
                </c:pt>
                <c:pt idx="91">
                  <c:v>1109.5</c:v>
                </c:pt>
                <c:pt idx="92">
                  <c:v>1114</c:v>
                </c:pt>
                <c:pt idx="93">
                  <c:v>1118.5</c:v>
                </c:pt>
                <c:pt idx="94">
                  <c:v>1123</c:v>
                </c:pt>
                <c:pt idx="95">
                  <c:v>1127.5</c:v>
                </c:pt>
                <c:pt idx="96">
                  <c:v>1132</c:v>
                </c:pt>
                <c:pt idx="97">
                  <c:v>1136.5</c:v>
                </c:pt>
                <c:pt idx="98">
                  <c:v>1141</c:v>
                </c:pt>
                <c:pt idx="99">
                  <c:v>1145.5</c:v>
                </c:pt>
                <c:pt idx="100">
                  <c:v>1150</c:v>
                </c:pt>
                <c:pt idx="101">
                  <c:v>1155.5</c:v>
                </c:pt>
                <c:pt idx="102">
                  <c:v>1161</c:v>
                </c:pt>
                <c:pt idx="103">
                  <c:v>1166.5</c:v>
                </c:pt>
                <c:pt idx="104">
                  <c:v>1172</c:v>
                </c:pt>
                <c:pt idx="105">
                  <c:v>1177.5</c:v>
                </c:pt>
                <c:pt idx="106">
                  <c:v>1183</c:v>
                </c:pt>
                <c:pt idx="107">
                  <c:v>1188.5</c:v>
                </c:pt>
                <c:pt idx="108">
                  <c:v>1194</c:v>
                </c:pt>
                <c:pt idx="109">
                  <c:v>1199.5</c:v>
                </c:pt>
                <c:pt idx="110">
                  <c:v>1205</c:v>
                </c:pt>
                <c:pt idx="111">
                  <c:v>1210.5</c:v>
                </c:pt>
                <c:pt idx="112">
                  <c:v>1216</c:v>
                </c:pt>
                <c:pt idx="113">
                  <c:v>1221.5</c:v>
                </c:pt>
                <c:pt idx="114">
                  <c:v>1227</c:v>
                </c:pt>
                <c:pt idx="115">
                  <c:v>1232.5</c:v>
                </c:pt>
                <c:pt idx="116">
                  <c:v>1238</c:v>
                </c:pt>
                <c:pt idx="117">
                  <c:v>1243.5</c:v>
                </c:pt>
                <c:pt idx="118">
                  <c:v>1249</c:v>
                </c:pt>
                <c:pt idx="119">
                  <c:v>1254.5</c:v>
                </c:pt>
                <c:pt idx="120">
                  <c:v>1260</c:v>
                </c:pt>
                <c:pt idx="121">
                  <c:v>1267.5</c:v>
                </c:pt>
                <c:pt idx="122">
                  <c:v>1275</c:v>
                </c:pt>
                <c:pt idx="123">
                  <c:v>1282.5</c:v>
                </c:pt>
                <c:pt idx="124">
                  <c:v>1290</c:v>
                </c:pt>
                <c:pt idx="125">
                  <c:v>1297.5</c:v>
                </c:pt>
                <c:pt idx="126">
                  <c:v>1305</c:v>
                </c:pt>
                <c:pt idx="127">
                  <c:v>1312.5</c:v>
                </c:pt>
                <c:pt idx="128">
                  <c:v>1320</c:v>
                </c:pt>
                <c:pt idx="129">
                  <c:v>1327.5</c:v>
                </c:pt>
                <c:pt idx="130">
                  <c:v>1335</c:v>
                </c:pt>
                <c:pt idx="131">
                  <c:v>1342.5</c:v>
                </c:pt>
                <c:pt idx="132">
                  <c:v>1350</c:v>
                </c:pt>
                <c:pt idx="133">
                  <c:v>1357.5</c:v>
                </c:pt>
                <c:pt idx="134">
                  <c:v>1365</c:v>
                </c:pt>
                <c:pt idx="135">
                  <c:v>1372.5</c:v>
                </c:pt>
                <c:pt idx="136">
                  <c:v>1380</c:v>
                </c:pt>
                <c:pt idx="137">
                  <c:v>1387.5</c:v>
                </c:pt>
                <c:pt idx="138">
                  <c:v>1395</c:v>
                </c:pt>
                <c:pt idx="139">
                  <c:v>1402.5</c:v>
                </c:pt>
                <c:pt idx="140">
                  <c:v>1410</c:v>
                </c:pt>
                <c:pt idx="141">
                  <c:v>1416.5</c:v>
                </c:pt>
                <c:pt idx="142">
                  <c:v>1423</c:v>
                </c:pt>
                <c:pt idx="143">
                  <c:v>1429.5</c:v>
                </c:pt>
                <c:pt idx="144">
                  <c:v>1436</c:v>
                </c:pt>
                <c:pt idx="145">
                  <c:v>1442.5</c:v>
                </c:pt>
                <c:pt idx="146">
                  <c:v>1449</c:v>
                </c:pt>
                <c:pt idx="147">
                  <c:v>1455.5</c:v>
                </c:pt>
                <c:pt idx="148">
                  <c:v>1462</c:v>
                </c:pt>
                <c:pt idx="149">
                  <c:v>1468.5</c:v>
                </c:pt>
                <c:pt idx="150">
                  <c:v>1475</c:v>
                </c:pt>
                <c:pt idx="151">
                  <c:v>1481.5</c:v>
                </c:pt>
                <c:pt idx="152">
                  <c:v>1488</c:v>
                </c:pt>
                <c:pt idx="153">
                  <c:v>1494.5</c:v>
                </c:pt>
                <c:pt idx="154">
                  <c:v>1501</c:v>
                </c:pt>
                <c:pt idx="155">
                  <c:v>1507.5</c:v>
                </c:pt>
                <c:pt idx="156">
                  <c:v>1514</c:v>
                </c:pt>
                <c:pt idx="157">
                  <c:v>1520.5</c:v>
                </c:pt>
                <c:pt idx="158">
                  <c:v>1527</c:v>
                </c:pt>
                <c:pt idx="159">
                  <c:v>1533.5</c:v>
                </c:pt>
                <c:pt idx="160">
                  <c:v>1540</c:v>
                </c:pt>
                <c:pt idx="161">
                  <c:v>1550.5</c:v>
                </c:pt>
                <c:pt idx="162">
                  <c:v>1561</c:v>
                </c:pt>
                <c:pt idx="163">
                  <c:v>1571.5</c:v>
                </c:pt>
                <c:pt idx="164">
                  <c:v>1582</c:v>
                </c:pt>
                <c:pt idx="165">
                  <c:v>1592.5</c:v>
                </c:pt>
                <c:pt idx="166">
                  <c:v>1603</c:v>
                </c:pt>
                <c:pt idx="167">
                  <c:v>1613.5</c:v>
                </c:pt>
                <c:pt idx="168">
                  <c:v>1624</c:v>
                </c:pt>
                <c:pt idx="169">
                  <c:v>1634.5</c:v>
                </c:pt>
                <c:pt idx="170">
                  <c:v>1645</c:v>
                </c:pt>
                <c:pt idx="171">
                  <c:v>1655.5</c:v>
                </c:pt>
                <c:pt idx="172">
                  <c:v>1666</c:v>
                </c:pt>
                <c:pt idx="173">
                  <c:v>1676.5</c:v>
                </c:pt>
                <c:pt idx="174">
                  <c:v>1687</c:v>
                </c:pt>
                <c:pt idx="175">
                  <c:v>1697.5</c:v>
                </c:pt>
                <c:pt idx="176">
                  <c:v>1708</c:v>
                </c:pt>
                <c:pt idx="177">
                  <c:v>1718.5</c:v>
                </c:pt>
                <c:pt idx="178">
                  <c:v>1729</c:v>
                </c:pt>
                <c:pt idx="179">
                  <c:v>1739.5</c:v>
                </c:pt>
                <c:pt idx="180">
                  <c:v>1750</c:v>
                </c:pt>
                <c:pt idx="181">
                  <c:v>1764</c:v>
                </c:pt>
                <c:pt idx="182">
                  <c:v>1778</c:v>
                </c:pt>
                <c:pt idx="183">
                  <c:v>1792</c:v>
                </c:pt>
                <c:pt idx="184">
                  <c:v>1806</c:v>
                </c:pt>
                <c:pt idx="185">
                  <c:v>1820</c:v>
                </c:pt>
                <c:pt idx="186">
                  <c:v>1834</c:v>
                </c:pt>
                <c:pt idx="187">
                  <c:v>1848</c:v>
                </c:pt>
                <c:pt idx="188">
                  <c:v>1862</c:v>
                </c:pt>
                <c:pt idx="189">
                  <c:v>1876</c:v>
                </c:pt>
                <c:pt idx="190">
                  <c:v>1890</c:v>
                </c:pt>
                <c:pt idx="191">
                  <c:v>1904</c:v>
                </c:pt>
                <c:pt idx="192">
                  <c:v>1918</c:v>
                </c:pt>
                <c:pt idx="193">
                  <c:v>1932</c:v>
                </c:pt>
                <c:pt idx="194">
                  <c:v>1946</c:v>
                </c:pt>
                <c:pt idx="195">
                  <c:v>1960</c:v>
                </c:pt>
                <c:pt idx="196">
                  <c:v>1974</c:v>
                </c:pt>
                <c:pt idx="197">
                  <c:v>1988</c:v>
                </c:pt>
                <c:pt idx="198">
                  <c:v>2002</c:v>
                </c:pt>
                <c:pt idx="199">
                  <c:v>2016</c:v>
                </c:pt>
                <c:pt idx="200">
                  <c:v>2030</c:v>
                </c:pt>
                <c:pt idx="201">
                  <c:v>2055.5</c:v>
                </c:pt>
                <c:pt idx="202">
                  <c:v>2081</c:v>
                </c:pt>
                <c:pt idx="203">
                  <c:v>2106.5</c:v>
                </c:pt>
                <c:pt idx="204">
                  <c:v>2132</c:v>
                </c:pt>
                <c:pt idx="205">
                  <c:v>2157.5</c:v>
                </c:pt>
                <c:pt idx="206">
                  <c:v>2183</c:v>
                </c:pt>
                <c:pt idx="207">
                  <c:v>2208.5</c:v>
                </c:pt>
                <c:pt idx="208">
                  <c:v>2234</c:v>
                </c:pt>
                <c:pt idx="209">
                  <c:v>2259.5</c:v>
                </c:pt>
                <c:pt idx="210">
                  <c:v>2285</c:v>
                </c:pt>
                <c:pt idx="211">
                  <c:v>2310.5</c:v>
                </c:pt>
                <c:pt idx="212">
                  <c:v>2336</c:v>
                </c:pt>
                <c:pt idx="213">
                  <c:v>2361.5</c:v>
                </c:pt>
                <c:pt idx="214">
                  <c:v>2387</c:v>
                </c:pt>
                <c:pt idx="215">
                  <c:v>2412.5</c:v>
                </c:pt>
                <c:pt idx="216">
                  <c:v>2438</c:v>
                </c:pt>
                <c:pt idx="217">
                  <c:v>2463.5</c:v>
                </c:pt>
                <c:pt idx="218">
                  <c:v>2489</c:v>
                </c:pt>
                <c:pt idx="219">
                  <c:v>2514.5</c:v>
                </c:pt>
                <c:pt idx="220">
                  <c:v>2540</c:v>
                </c:pt>
                <c:pt idx="221">
                  <c:v>2628</c:v>
                </c:pt>
                <c:pt idx="222">
                  <c:v>2716</c:v>
                </c:pt>
                <c:pt idx="223">
                  <c:v>2804</c:v>
                </c:pt>
                <c:pt idx="224">
                  <c:v>2892</c:v>
                </c:pt>
                <c:pt idx="225">
                  <c:v>2980</c:v>
                </c:pt>
                <c:pt idx="226">
                  <c:v>3068</c:v>
                </c:pt>
                <c:pt idx="227">
                  <c:v>3156</c:v>
                </c:pt>
                <c:pt idx="228">
                  <c:v>3244</c:v>
                </c:pt>
                <c:pt idx="229">
                  <c:v>3332</c:v>
                </c:pt>
                <c:pt idx="230">
                  <c:v>3420</c:v>
                </c:pt>
                <c:pt idx="231">
                  <c:v>3508</c:v>
                </c:pt>
                <c:pt idx="232">
                  <c:v>3596</c:v>
                </c:pt>
                <c:pt idx="233">
                  <c:v>3684</c:v>
                </c:pt>
                <c:pt idx="234">
                  <c:v>3772</c:v>
                </c:pt>
                <c:pt idx="235">
                  <c:v>3860</c:v>
                </c:pt>
                <c:pt idx="236">
                  <c:v>3948</c:v>
                </c:pt>
                <c:pt idx="237">
                  <c:v>4036</c:v>
                </c:pt>
                <c:pt idx="238">
                  <c:v>4124</c:v>
                </c:pt>
                <c:pt idx="239">
                  <c:v>4212</c:v>
                </c:pt>
                <c:pt idx="240">
                  <c:v>4300</c:v>
                </c:pt>
                <c:pt idx="241">
                  <c:v>4363.5</c:v>
                </c:pt>
                <c:pt idx="242">
                  <c:v>4427</c:v>
                </c:pt>
                <c:pt idx="243">
                  <c:v>4490.5</c:v>
                </c:pt>
                <c:pt idx="244">
                  <c:v>4554</c:v>
                </c:pt>
                <c:pt idx="245">
                  <c:v>4617.5</c:v>
                </c:pt>
                <c:pt idx="246">
                  <c:v>4681</c:v>
                </c:pt>
                <c:pt idx="247">
                  <c:v>4744.5</c:v>
                </c:pt>
                <c:pt idx="248">
                  <c:v>4808</c:v>
                </c:pt>
                <c:pt idx="249">
                  <c:v>4871.5</c:v>
                </c:pt>
                <c:pt idx="250">
                  <c:v>4935</c:v>
                </c:pt>
                <c:pt idx="251">
                  <c:v>4998.5</c:v>
                </c:pt>
                <c:pt idx="252">
                  <c:v>5062</c:v>
                </c:pt>
                <c:pt idx="253">
                  <c:v>5125.5</c:v>
                </c:pt>
                <c:pt idx="254">
                  <c:v>5189</c:v>
                </c:pt>
                <c:pt idx="255">
                  <c:v>5252.5</c:v>
                </c:pt>
                <c:pt idx="256">
                  <c:v>5316</c:v>
                </c:pt>
                <c:pt idx="257">
                  <c:v>5379.5</c:v>
                </c:pt>
                <c:pt idx="258">
                  <c:v>5443</c:v>
                </c:pt>
                <c:pt idx="259">
                  <c:v>5506.5</c:v>
                </c:pt>
                <c:pt idx="260">
                  <c:v>5570</c:v>
                </c:pt>
                <c:pt idx="261">
                  <c:v>5636</c:v>
                </c:pt>
                <c:pt idx="262">
                  <c:v>5702</c:v>
                </c:pt>
                <c:pt idx="263">
                  <c:v>5768</c:v>
                </c:pt>
                <c:pt idx="264">
                  <c:v>5834</c:v>
                </c:pt>
                <c:pt idx="265">
                  <c:v>5900</c:v>
                </c:pt>
                <c:pt idx="266">
                  <c:v>5966</c:v>
                </c:pt>
                <c:pt idx="267">
                  <c:v>6032</c:v>
                </c:pt>
                <c:pt idx="268">
                  <c:v>6098</c:v>
                </c:pt>
                <c:pt idx="269">
                  <c:v>6164</c:v>
                </c:pt>
                <c:pt idx="270">
                  <c:v>6230</c:v>
                </c:pt>
                <c:pt idx="271">
                  <c:v>6296</c:v>
                </c:pt>
                <c:pt idx="272">
                  <c:v>6362</c:v>
                </c:pt>
                <c:pt idx="273">
                  <c:v>6428</c:v>
                </c:pt>
                <c:pt idx="274">
                  <c:v>6494</c:v>
                </c:pt>
                <c:pt idx="275">
                  <c:v>6560</c:v>
                </c:pt>
                <c:pt idx="276">
                  <c:v>6626</c:v>
                </c:pt>
                <c:pt idx="277">
                  <c:v>6692</c:v>
                </c:pt>
                <c:pt idx="278">
                  <c:v>6758</c:v>
                </c:pt>
                <c:pt idx="279">
                  <c:v>6824</c:v>
                </c:pt>
                <c:pt idx="280">
                  <c:v>6890</c:v>
                </c:pt>
                <c:pt idx="281">
                  <c:v>6949.5</c:v>
                </c:pt>
                <c:pt idx="282">
                  <c:v>7009</c:v>
                </c:pt>
                <c:pt idx="283">
                  <c:v>7068.5</c:v>
                </c:pt>
                <c:pt idx="284">
                  <c:v>7128</c:v>
                </c:pt>
                <c:pt idx="285">
                  <c:v>7187.5</c:v>
                </c:pt>
                <c:pt idx="286">
                  <c:v>7247</c:v>
                </c:pt>
                <c:pt idx="287">
                  <c:v>7306.5</c:v>
                </c:pt>
                <c:pt idx="288">
                  <c:v>7366</c:v>
                </c:pt>
                <c:pt idx="289">
                  <c:v>7425.5</c:v>
                </c:pt>
                <c:pt idx="290">
                  <c:v>7485</c:v>
                </c:pt>
                <c:pt idx="291">
                  <c:v>7544.5</c:v>
                </c:pt>
                <c:pt idx="292">
                  <c:v>7604</c:v>
                </c:pt>
                <c:pt idx="293">
                  <c:v>7663.5</c:v>
                </c:pt>
                <c:pt idx="294">
                  <c:v>7723</c:v>
                </c:pt>
                <c:pt idx="295">
                  <c:v>7782.5</c:v>
                </c:pt>
                <c:pt idx="296">
                  <c:v>7842</c:v>
                </c:pt>
                <c:pt idx="297">
                  <c:v>7901.5</c:v>
                </c:pt>
                <c:pt idx="298">
                  <c:v>7961</c:v>
                </c:pt>
                <c:pt idx="299">
                  <c:v>8020.5</c:v>
                </c:pt>
                <c:pt idx="300">
                  <c:v>8080</c:v>
                </c:pt>
                <c:pt idx="301">
                  <c:v>8154.5</c:v>
                </c:pt>
                <c:pt idx="302">
                  <c:v>8229</c:v>
                </c:pt>
                <c:pt idx="303">
                  <c:v>8303.5</c:v>
                </c:pt>
                <c:pt idx="304">
                  <c:v>8378</c:v>
                </c:pt>
                <c:pt idx="305">
                  <c:v>8452.5</c:v>
                </c:pt>
                <c:pt idx="306">
                  <c:v>8527</c:v>
                </c:pt>
                <c:pt idx="307">
                  <c:v>8601.5</c:v>
                </c:pt>
                <c:pt idx="308">
                  <c:v>8676</c:v>
                </c:pt>
                <c:pt idx="309">
                  <c:v>8750.5</c:v>
                </c:pt>
                <c:pt idx="310">
                  <c:v>8825</c:v>
                </c:pt>
                <c:pt idx="311">
                  <c:v>8899.5</c:v>
                </c:pt>
                <c:pt idx="312">
                  <c:v>8974</c:v>
                </c:pt>
                <c:pt idx="313">
                  <c:v>9048.5</c:v>
                </c:pt>
                <c:pt idx="314">
                  <c:v>9123</c:v>
                </c:pt>
                <c:pt idx="315">
                  <c:v>9197.5</c:v>
                </c:pt>
                <c:pt idx="316">
                  <c:v>9272</c:v>
                </c:pt>
                <c:pt idx="317">
                  <c:v>9346.5</c:v>
                </c:pt>
                <c:pt idx="318">
                  <c:v>9421</c:v>
                </c:pt>
                <c:pt idx="319">
                  <c:v>9495.5</c:v>
                </c:pt>
                <c:pt idx="320">
                  <c:v>9570</c:v>
                </c:pt>
                <c:pt idx="321">
                  <c:v>9647.5</c:v>
                </c:pt>
                <c:pt idx="322">
                  <c:v>9725</c:v>
                </c:pt>
                <c:pt idx="323">
                  <c:v>9802.5</c:v>
                </c:pt>
                <c:pt idx="324">
                  <c:v>9880</c:v>
                </c:pt>
                <c:pt idx="325">
                  <c:v>9957.5</c:v>
                </c:pt>
                <c:pt idx="326">
                  <c:v>10035</c:v>
                </c:pt>
                <c:pt idx="327">
                  <c:v>10112.5</c:v>
                </c:pt>
                <c:pt idx="328">
                  <c:v>10190</c:v>
                </c:pt>
                <c:pt idx="329">
                  <c:v>10267.5</c:v>
                </c:pt>
                <c:pt idx="330">
                  <c:v>10345</c:v>
                </c:pt>
                <c:pt idx="331">
                  <c:v>10422.5</c:v>
                </c:pt>
                <c:pt idx="332">
                  <c:v>10500</c:v>
                </c:pt>
                <c:pt idx="333">
                  <c:v>10577.5</c:v>
                </c:pt>
                <c:pt idx="334">
                  <c:v>10655</c:v>
                </c:pt>
                <c:pt idx="335">
                  <c:v>10732.5</c:v>
                </c:pt>
                <c:pt idx="336">
                  <c:v>10810</c:v>
                </c:pt>
                <c:pt idx="337">
                  <c:v>10887.5</c:v>
                </c:pt>
                <c:pt idx="338">
                  <c:v>10965</c:v>
                </c:pt>
                <c:pt idx="339">
                  <c:v>11042.5</c:v>
                </c:pt>
                <c:pt idx="340">
                  <c:v>11120</c:v>
                </c:pt>
                <c:pt idx="341">
                  <c:v>11190.5</c:v>
                </c:pt>
                <c:pt idx="342">
                  <c:v>11261</c:v>
                </c:pt>
                <c:pt idx="343">
                  <c:v>11331.5</c:v>
                </c:pt>
                <c:pt idx="344">
                  <c:v>11402</c:v>
                </c:pt>
                <c:pt idx="345">
                  <c:v>11472.5</c:v>
                </c:pt>
                <c:pt idx="346">
                  <c:v>11543</c:v>
                </c:pt>
                <c:pt idx="347">
                  <c:v>11613.5</c:v>
                </c:pt>
                <c:pt idx="348">
                  <c:v>11684</c:v>
                </c:pt>
                <c:pt idx="349">
                  <c:v>11754.5</c:v>
                </c:pt>
                <c:pt idx="350">
                  <c:v>11825</c:v>
                </c:pt>
                <c:pt idx="351">
                  <c:v>11895.5</c:v>
                </c:pt>
                <c:pt idx="352">
                  <c:v>11966</c:v>
                </c:pt>
                <c:pt idx="353">
                  <c:v>12036.5</c:v>
                </c:pt>
                <c:pt idx="354">
                  <c:v>12107</c:v>
                </c:pt>
                <c:pt idx="355">
                  <c:v>12177.5</c:v>
                </c:pt>
                <c:pt idx="356">
                  <c:v>12248</c:v>
                </c:pt>
                <c:pt idx="357">
                  <c:v>12318.5</c:v>
                </c:pt>
                <c:pt idx="358">
                  <c:v>12389</c:v>
                </c:pt>
                <c:pt idx="359">
                  <c:v>12459.5</c:v>
                </c:pt>
                <c:pt idx="360">
                  <c:v>12530</c:v>
                </c:pt>
                <c:pt idx="361">
                  <c:v>12615</c:v>
                </c:pt>
                <c:pt idx="362">
                  <c:v>12700</c:v>
                </c:pt>
                <c:pt idx="363">
                  <c:v>12785</c:v>
                </c:pt>
                <c:pt idx="364">
                  <c:v>12870</c:v>
                </c:pt>
                <c:pt idx="365">
                  <c:v>12955</c:v>
                </c:pt>
                <c:pt idx="366">
                  <c:v>13040</c:v>
                </c:pt>
                <c:pt idx="367">
                  <c:v>13125</c:v>
                </c:pt>
                <c:pt idx="368">
                  <c:v>13210</c:v>
                </c:pt>
                <c:pt idx="369">
                  <c:v>13295</c:v>
                </c:pt>
                <c:pt idx="370">
                  <c:v>13380</c:v>
                </c:pt>
                <c:pt idx="371">
                  <c:v>13465</c:v>
                </c:pt>
                <c:pt idx="372">
                  <c:v>13550</c:v>
                </c:pt>
                <c:pt idx="373">
                  <c:v>13635</c:v>
                </c:pt>
                <c:pt idx="374">
                  <c:v>13720</c:v>
                </c:pt>
                <c:pt idx="375">
                  <c:v>13805</c:v>
                </c:pt>
                <c:pt idx="376">
                  <c:v>13890</c:v>
                </c:pt>
                <c:pt idx="377">
                  <c:v>13975</c:v>
                </c:pt>
                <c:pt idx="378">
                  <c:v>14060</c:v>
                </c:pt>
                <c:pt idx="379">
                  <c:v>14145</c:v>
                </c:pt>
                <c:pt idx="380">
                  <c:v>14230</c:v>
                </c:pt>
                <c:pt idx="381">
                  <c:v>14337.5</c:v>
                </c:pt>
                <c:pt idx="382">
                  <c:v>14445</c:v>
                </c:pt>
                <c:pt idx="383">
                  <c:v>14552.5</c:v>
                </c:pt>
                <c:pt idx="384">
                  <c:v>14660</c:v>
                </c:pt>
                <c:pt idx="385">
                  <c:v>14767.5</c:v>
                </c:pt>
                <c:pt idx="386">
                  <c:v>14875</c:v>
                </c:pt>
                <c:pt idx="387">
                  <c:v>14982.5</c:v>
                </c:pt>
                <c:pt idx="388">
                  <c:v>15090</c:v>
                </c:pt>
                <c:pt idx="389">
                  <c:v>15197.5</c:v>
                </c:pt>
                <c:pt idx="390">
                  <c:v>15305</c:v>
                </c:pt>
                <c:pt idx="391">
                  <c:v>15412.5</c:v>
                </c:pt>
                <c:pt idx="392">
                  <c:v>15520</c:v>
                </c:pt>
                <c:pt idx="393">
                  <c:v>15627.5</c:v>
                </c:pt>
                <c:pt idx="394">
                  <c:v>15735</c:v>
                </c:pt>
                <c:pt idx="395">
                  <c:v>15842.5</c:v>
                </c:pt>
                <c:pt idx="396">
                  <c:v>15950</c:v>
                </c:pt>
                <c:pt idx="397">
                  <c:v>16057.5</c:v>
                </c:pt>
                <c:pt idx="398">
                  <c:v>16165</c:v>
                </c:pt>
                <c:pt idx="399">
                  <c:v>16272.5</c:v>
                </c:pt>
                <c:pt idx="400">
                  <c:v>16380</c:v>
                </c:pt>
                <c:pt idx="401">
                  <c:v>16486</c:v>
                </c:pt>
                <c:pt idx="402">
                  <c:v>16592</c:v>
                </c:pt>
                <c:pt idx="403">
                  <c:v>16698</c:v>
                </c:pt>
                <c:pt idx="404">
                  <c:v>16804</c:v>
                </c:pt>
                <c:pt idx="405">
                  <c:v>16910</c:v>
                </c:pt>
                <c:pt idx="406">
                  <c:v>17016</c:v>
                </c:pt>
                <c:pt idx="407">
                  <c:v>17122</c:v>
                </c:pt>
                <c:pt idx="408">
                  <c:v>17228</c:v>
                </c:pt>
                <c:pt idx="409">
                  <c:v>17334</c:v>
                </c:pt>
                <c:pt idx="410">
                  <c:v>17440</c:v>
                </c:pt>
                <c:pt idx="411">
                  <c:v>17546</c:v>
                </c:pt>
                <c:pt idx="412">
                  <c:v>17652</c:v>
                </c:pt>
                <c:pt idx="413">
                  <c:v>17758</c:v>
                </c:pt>
                <c:pt idx="414">
                  <c:v>17864</c:v>
                </c:pt>
                <c:pt idx="415">
                  <c:v>17970</c:v>
                </c:pt>
                <c:pt idx="416">
                  <c:v>18076</c:v>
                </c:pt>
                <c:pt idx="417">
                  <c:v>18182</c:v>
                </c:pt>
                <c:pt idx="418">
                  <c:v>18288</c:v>
                </c:pt>
                <c:pt idx="419">
                  <c:v>18394</c:v>
                </c:pt>
                <c:pt idx="420">
                  <c:v>18500</c:v>
                </c:pt>
                <c:pt idx="421">
                  <c:v>18597</c:v>
                </c:pt>
                <c:pt idx="422">
                  <c:v>18694</c:v>
                </c:pt>
                <c:pt idx="423">
                  <c:v>18791</c:v>
                </c:pt>
                <c:pt idx="424">
                  <c:v>18888</c:v>
                </c:pt>
                <c:pt idx="425">
                  <c:v>18985</c:v>
                </c:pt>
                <c:pt idx="426">
                  <c:v>19082</c:v>
                </c:pt>
                <c:pt idx="427">
                  <c:v>19179</c:v>
                </c:pt>
                <c:pt idx="428">
                  <c:v>19276</c:v>
                </c:pt>
                <c:pt idx="429">
                  <c:v>19373</c:v>
                </c:pt>
                <c:pt idx="430">
                  <c:v>19470</c:v>
                </c:pt>
                <c:pt idx="431">
                  <c:v>19567</c:v>
                </c:pt>
                <c:pt idx="432">
                  <c:v>19664</c:v>
                </c:pt>
                <c:pt idx="433">
                  <c:v>19761</c:v>
                </c:pt>
                <c:pt idx="434">
                  <c:v>19858</c:v>
                </c:pt>
                <c:pt idx="435">
                  <c:v>19955</c:v>
                </c:pt>
                <c:pt idx="436">
                  <c:v>20052</c:v>
                </c:pt>
                <c:pt idx="437">
                  <c:v>20149</c:v>
                </c:pt>
                <c:pt idx="438">
                  <c:v>20246</c:v>
                </c:pt>
                <c:pt idx="439">
                  <c:v>20343</c:v>
                </c:pt>
                <c:pt idx="440">
                  <c:v>20440</c:v>
                </c:pt>
                <c:pt idx="441">
                  <c:v>20537</c:v>
                </c:pt>
                <c:pt idx="442">
                  <c:v>20634</c:v>
                </c:pt>
                <c:pt idx="443">
                  <c:v>20731</c:v>
                </c:pt>
                <c:pt idx="444">
                  <c:v>20828</c:v>
                </c:pt>
                <c:pt idx="445">
                  <c:v>20925</c:v>
                </c:pt>
                <c:pt idx="446">
                  <c:v>21022</c:v>
                </c:pt>
                <c:pt idx="447">
                  <c:v>21119</c:v>
                </c:pt>
                <c:pt idx="448">
                  <c:v>21216</c:v>
                </c:pt>
                <c:pt idx="449">
                  <c:v>21313</c:v>
                </c:pt>
                <c:pt idx="450">
                  <c:v>21410</c:v>
                </c:pt>
                <c:pt idx="451">
                  <c:v>21507</c:v>
                </c:pt>
                <c:pt idx="452">
                  <c:v>21604</c:v>
                </c:pt>
                <c:pt idx="453">
                  <c:v>21701</c:v>
                </c:pt>
                <c:pt idx="454">
                  <c:v>21798</c:v>
                </c:pt>
                <c:pt idx="455">
                  <c:v>21895</c:v>
                </c:pt>
                <c:pt idx="456">
                  <c:v>21992</c:v>
                </c:pt>
                <c:pt idx="457">
                  <c:v>22089</c:v>
                </c:pt>
                <c:pt idx="458">
                  <c:v>22186</c:v>
                </c:pt>
                <c:pt idx="459">
                  <c:v>22283</c:v>
                </c:pt>
                <c:pt idx="460">
                  <c:v>22380</c:v>
                </c:pt>
                <c:pt idx="461">
                  <c:v>22512.5</c:v>
                </c:pt>
                <c:pt idx="462">
                  <c:v>22645</c:v>
                </c:pt>
                <c:pt idx="463">
                  <c:v>22777.5</c:v>
                </c:pt>
                <c:pt idx="464">
                  <c:v>22910</c:v>
                </c:pt>
                <c:pt idx="465">
                  <c:v>23042.5</c:v>
                </c:pt>
                <c:pt idx="466">
                  <c:v>23175</c:v>
                </c:pt>
                <c:pt idx="467">
                  <c:v>23307.5</c:v>
                </c:pt>
                <c:pt idx="468">
                  <c:v>23440</c:v>
                </c:pt>
                <c:pt idx="469">
                  <c:v>23572.5</c:v>
                </c:pt>
                <c:pt idx="470">
                  <c:v>23705</c:v>
                </c:pt>
                <c:pt idx="471">
                  <c:v>23837.5</c:v>
                </c:pt>
                <c:pt idx="472">
                  <c:v>23970</c:v>
                </c:pt>
                <c:pt idx="473">
                  <c:v>24102.5</c:v>
                </c:pt>
                <c:pt idx="474">
                  <c:v>24235</c:v>
                </c:pt>
                <c:pt idx="475">
                  <c:v>24367.5</c:v>
                </c:pt>
                <c:pt idx="476">
                  <c:v>24500</c:v>
                </c:pt>
                <c:pt idx="477">
                  <c:v>24632.5</c:v>
                </c:pt>
                <c:pt idx="478">
                  <c:v>24765</c:v>
                </c:pt>
                <c:pt idx="479">
                  <c:v>24897.5</c:v>
                </c:pt>
                <c:pt idx="480">
                  <c:v>25030</c:v>
                </c:pt>
                <c:pt idx="481">
                  <c:v>25143</c:v>
                </c:pt>
                <c:pt idx="482">
                  <c:v>25256</c:v>
                </c:pt>
                <c:pt idx="483">
                  <c:v>25369</c:v>
                </c:pt>
                <c:pt idx="484">
                  <c:v>25482</c:v>
                </c:pt>
                <c:pt idx="485">
                  <c:v>25595</c:v>
                </c:pt>
                <c:pt idx="486">
                  <c:v>25708</c:v>
                </c:pt>
                <c:pt idx="487">
                  <c:v>25821</c:v>
                </c:pt>
                <c:pt idx="488">
                  <c:v>25934</c:v>
                </c:pt>
                <c:pt idx="489">
                  <c:v>26047</c:v>
                </c:pt>
                <c:pt idx="490">
                  <c:v>26160</c:v>
                </c:pt>
                <c:pt idx="491">
                  <c:v>26273</c:v>
                </c:pt>
                <c:pt idx="492">
                  <c:v>26386</c:v>
                </c:pt>
                <c:pt idx="493">
                  <c:v>26499</c:v>
                </c:pt>
                <c:pt idx="494">
                  <c:v>26612</c:v>
                </c:pt>
                <c:pt idx="495">
                  <c:v>26725</c:v>
                </c:pt>
                <c:pt idx="496">
                  <c:v>26838</c:v>
                </c:pt>
                <c:pt idx="497">
                  <c:v>26951</c:v>
                </c:pt>
                <c:pt idx="498">
                  <c:v>27064</c:v>
                </c:pt>
                <c:pt idx="499">
                  <c:v>27177</c:v>
                </c:pt>
                <c:pt idx="500">
                  <c:v>27290</c:v>
                </c:pt>
                <c:pt idx="501">
                  <c:v>27421</c:v>
                </c:pt>
                <c:pt idx="502">
                  <c:v>27552</c:v>
                </c:pt>
                <c:pt idx="503">
                  <c:v>27683</c:v>
                </c:pt>
                <c:pt idx="504">
                  <c:v>27814</c:v>
                </c:pt>
                <c:pt idx="505">
                  <c:v>27945</c:v>
                </c:pt>
                <c:pt idx="506">
                  <c:v>28076</c:v>
                </c:pt>
                <c:pt idx="507">
                  <c:v>28207</c:v>
                </c:pt>
                <c:pt idx="508">
                  <c:v>28338</c:v>
                </c:pt>
                <c:pt idx="509">
                  <c:v>28469</c:v>
                </c:pt>
                <c:pt idx="510">
                  <c:v>28600</c:v>
                </c:pt>
                <c:pt idx="511">
                  <c:v>28731</c:v>
                </c:pt>
                <c:pt idx="512">
                  <c:v>28862</c:v>
                </c:pt>
                <c:pt idx="513">
                  <c:v>28993</c:v>
                </c:pt>
                <c:pt idx="514">
                  <c:v>29124</c:v>
                </c:pt>
                <c:pt idx="515">
                  <c:v>29255</c:v>
                </c:pt>
                <c:pt idx="516">
                  <c:v>29386</c:v>
                </c:pt>
                <c:pt idx="517">
                  <c:v>29517</c:v>
                </c:pt>
                <c:pt idx="518">
                  <c:v>29648</c:v>
                </c:pt>
                <c:pt idx="519">
                  <c:v>29779</c:v>
                </c:pt>
                <c:pt idx="520">
                  <c:v>29910</c:v>
                </c:pt>
                <c:pt idx="521">
                  <c:v>30033.5</c:v>
                </c:pt>
                <c:pt idx="522">
                  <c:v>30157</c:v>
                </c:pt>
                <c:pt idx="523">
                  <c:v>30280.5</c:v>
                </c:pt>
                <c:pt idx="524">
                  <c:v>30404</c:v>
                </c:pt>
                <c:pt idx="525">
                  <c:v>30527.5</c:v>
                </c:pt>
                <c:pt idx="526">
                  <c:v>30651</c:v>
                </c:pt>
                <c:pt idx="527">
                  <c:v>30774.5</c:v>
                </c:pt>
                <c:pt idx="528">
                  <c:v>30898</c:v>
                </c:pt>
                <c:pt idx="529">
                  <c:v>31021.5</c:v>
                </c:pt>
                <c:pt idx="530">
                  <c:v>31145</c:v>
                </c:pt>
                <c:pt idx="531">
                  <c:v>31268.5</c:v>
                </c:pt>
                <c:pt idx="532">
                  <c:v>31392</c:v>
                </c:pt>
                <c:pt idx="533">
                  <c:v>31515.5</c:v>
                </c:pt>
                <c:pt idx="534">
                  <c:v>31639</c:v>
                </c:pt>
                <c:pt idx="535">
                  <c:v>31762.5</c:v>
                </c:pt>
                <c:pt idx="536">
                  <c:v>31886</c:v>
                </c:pt>
                <c:pt idx="537">
                  <c:v>32009.5</c:v>
                </c:pt>
                <c:pt idx="538">
                  <c:v>32133</c:v>
                </c:pt>
                <c:pt idx="539">
                  <c:v>32256.5</c:v>
                </c:pt>
                <c:pt idx="540">
                  <c:v>32380</c:v>
                </c:pt>
                <c:pt idx="541">
                  <c:v>32526</c:v>
                </c:pt>
                <c:pt idx="542">
                  <c:v>32672</c:v>
                </c:pt>
                <c:pt idx="543">
                  <c:v>32818</c:v>
                </c:pt>
                <c:pt idx="544">
                  <c:v>32964</c:v>
                </c:pt>
                <c:pt idx="545">
                  <c:v>33110</c:v>
                </c:pt>
                <c:pt idx="546">
                  <c:v>33256</c:v>
                </c:pt>
                <c:pt idx="547">
                  <c:v>33402</c:v>
                </c:pt>
                <c:pt idx="548">
                  <c:v>33548</c:v>
                </c:pt>
                <c:pt idx="549">
                  <c:v>33694</c:v>
                </c:pt>
                <c:pt idx="550">
                  <c:v>33840</c:v>
                </c:pt>
                <c:pt idx="551">
                  <c:v>33986</c:v>
                </c:pt>
                <c:pt idx="552">
                  <c:v>34132</c:v>
                </c:pt>
                <c:pt idx="553">
                  <c:v>34278</c:v>
                </c:pt>
                <c:pt idx="554">
                  <c:v>34424</c:v>
                </c:pt>
                <c:pt idx="555">
                  <c:v>34570</c:v>
                </c:pt>
                <c:pt idx="556">
                  <c:v>34716</c:v>
                </c:pt>
                <c:pt idx="557">
                  <c:v>34862</c:v>
                </c:pt>
                <c:pt idx="558">
                  <c:v>35008</c:v>
                </c:pt>
                <c:pt idx="559">
                  <c:v>35154</c:v>
                </c:pt>
                <c:pt idx="560">
                  <c:v>35300</c:v>
                </c:pt>
                <c:pt idx="561">
                  <c:v>35464</c:v>
                </c:pt>
                <c:pt idx="562">
                  <c:v>35628</c:v>
                </c:pt>
                <c:pt idx="563">
                  <c:v>35792</c:v>
                </c:pt>
                <c:pt idx="564">
                  <c:v>35956</c:v>
                </c:pt>
                <c:pt idx="565">
                  <c:v>36120</c:v>
                </c:pt>
                <c:pt idx="566">
                  <c:v>36284</c:v>
                </c:pt>
                <c:pt idx="567">
                  <c:v>36448</c:v>
                </c:pt>
                <c:pt idx="568">
                  <c:v>36612</c:v>
                </c:pt>
                <c:pt idx="569">
                  <c:v>36776</c:v>
                </c:pt>
                <c:pt idx="570">
                  <c:v>36940</c:v>
                </c:pt>
                <c:pt idx="571">
                  <c:v>37104</c:v>
                </c:pt>
                <c:pt idx="572">
                  <c:v>37268</c:v>
                </c:pt>
                <c:pt idx="573">
                  <c:v>37432</c:v>
                </c:pt>
                <c:pt idx="574">
                  <c:v>37596</c:v>
                </c:pt>
                <c:pt idx="575">
                  <c:v>37760</c:v>
                </c:pt>
                <c:pt idx="576">
                  <c:v>37924</c:v>
                </c:pt>
                <c:pt idx="577">
                  <c:v>38088</c:v>
                </c:pt>
                <c:pt idx="578">
                  <c:v>38252</c:v>
                </c:pt>
                <c:pt idx="579">
                  <c:v>38416</c:v>
                </c:pt>
                <c:pt idx="580">
                  <c:v>38580</c:v>
                </c:pt>
                <c:pt idx="581">
                  <c:v>38752</c:v>
                </c:pt>
                <c:pt idx="582">
                  <c:v>38924</c:v>
                </c:pt>
                <c:pt idx="583">
                  <c:v>39096</c:v>
                </c:pt>
                <c:pt idx="584">
                  <c:v>39268</c:v>
                </c:pt>
                <c:pt idx="585">
                  <c:v>39440</c:v>
                </c:pt>
                <c:pt idx="586">
                  <c:v>39612</c:v>
                </c:pt>
                <c:pt idx="587">
                  <c:v>39784</c:v>
                </c:pt>
                <c:pt idx="588">
                  <c:v>39956</c:v>
                </c:pt>
                <c:pt idx="589">
                  <c:v>40128</c:v>
                </c:pt>
                <c:pt idx="590">
                  <c:v>40300</c:v>
                </c:pt>
                <c:pt idx="591">
                  <c:v>40472</c:v>
                </c:pt>
                <c:pt idx="592">
                  <c:v>40644</c:v>
                </c:pt>
                <c:pt idx="593">
                  <c:v>40816</c:v>
                </c:pt>
                <c:pt idx="594">
                  <c:v>40988</c:v>
                </c:pt>
                <c:pt idx="595">
                  <c:v>41160</c:v>
                </c:pt>
                <c:pt idx="596">
                  <c:v>41332</c:v>
                </c:pt>
                <c:pt idx="597">
                  <c:v>41504</c:v>
                </c:pt>
                <c:pt idx="598">
                  <c:v>41676</c:v>
                </c:pt>
                <c:pt idx="599">
                  <c:v>41848</c:v>
                </c:pt>
                <c:pt idx="600">
                  <c:v>42020</c:v>
                </c:pt>
                <c:pt idx="601">
                  <c:v>42156</c:v>
                </c:pt>
                <c:pt idx="602">
                  <c:v>42292</c:v>
                </c:pt>
                <c:pt idx="603">
                  <c:v>42428</c:v>
                </c:pt>
                <c:pt idx="604">
                  <c:v>42564</c:v>
                </c:pt>
                <c:pt idx="605">
                  <c:v>42700</c:v>
                </c:pt>
                <c:pt idx="606">
                  <c:v>42836</c:v>
                </c:pt>
                <c:pt idx="607">
                  <c:v>42972</c:v>
                </c:pt>
                <c:pt idx="608">
                  <c:v>43108</c:v>
                </c:pt>
                <c:pt idx="609">
                  <c:v>43244</c:v>
                </c:pt>
                <c:pt idx="610">
                  <c:v>43380</c:v>
                </c:pt>
                <c:pt idx="611">
                  <c:v>43516</c:v>
                </c:pt>
                <c:pt idx="612">
                  <c:v>43652</c:v>
                </c:pt>
                <c:pt idx="613">
                  <c:v>43788</c:v>
                </c:pt>
                <c:pt idx="614">
                  <c:v>43924</c:v>
                </c:pt>
                <c:pt idx="615">
                  <c:v>44060</c:v>
                </c:pt>
                <c:pt idx="616">
                  <c:v>44196</c:v>
                </c:pt>
                <c:pt idx="617">
                  <c:v>44332</c:v>
                </c:pt>
                <c:pt idx="618">
                  <c:v>44468</c:v>
                </c:pt>
                <c:pt idx="619">
                  <c:v>44604</c:v>
                </c:pt>
                <c:pt idx="620">
                  <c:v>1000000000</c:v>
                </c:pt>
              </c:numCache>
            </c:numRef>
          </c:yVal>
          <c:smooth val="0"/>
          <c:extLst>
            <c:ext xmlns:c16="http://schemas.microsoft.com/office/drawing/2014/chart" uri="{C3380CC4-5D6E-409C-BE32-E72D297353CC}">
              <c16:uniqueId val="{00000000-7B16-45AD-B2C0-8DA113BFB698}"/>
            </c:ext>
          </c:extLst>
        </c:ser>
        <c:dLbls>
          <c:showLegendKey val="0"/>
          <c:showVal val="0"/>
          <c:showCatName val="0"/>
          <c:showSerName val="0"/>
          <c:showPercent val="0"/>
          <c:showBubbleSize val="0"/>
        </c:dLbls>
        <c:axId val="276626208"/>
        <c:axId val="276626600"/>
      </c:scatterChart>
      <c:valAx>
        <c:axId val="276626208"/>
        <c:scaling>
          <c:orientation val="minMax"/>
          <c:max val="4000000"/>
          <c:min val="0"/>
        </c:scaling>
        <c:delete val="0"/>
        <c:axPos val="b"/>
        <c:title>
          <c:tx>
            <c:rich>
              <a:bodyPr/>
              <a:lstStyle/>
              <a:p>
                <a:pPr>
                  <a:defRPr sz="1000" b="1" i="0" u="none" strike="noStrike" baseline="0">
                    <a:solidFill>
                      <a:srgbClr val="000000"/>
                    </a:solidFill>
                    <a:latin typeface="Calibri"/>
                    <a:ea typeface="Calibri"/>
                    <a:cs typeface="Calibri"/>
                  </a:defRPr>
                </a:pPr>
                <a:r>
                  <a:rPr lang="en-US"/>
                  <a:t>Total Storage (Acre Feet)</a:t>
                </a:r>
              </a:p>
            </c:rich>
          </c:tx>
          <c:overlay val="0"/>
        </c:title>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626600"/>
        <c:crosses val="autoZero"/>
        <c:crossBetween val="midCat"/>
        <c:majorUnit val="10000000"/>
      </c:valAx>
      <c:valAx>
        <c:axId val="276626600"/>
        <c:scaling>
          <c:orientation val="minMax"/>
          <c:max val="5000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Area (acres)</a:t>
                </a:r>
              </a:p>
            </c:rich>
          </c:tx>
          <c:overlay val="0"/>
        </c:title>
        <c:numFmt formatCode="_(* #,##0_);_(* \(#,##0\);_(* &quot;-&quot;??_);_(@_)"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626208"/>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0.13799387576552932"/>
                  <c:y val="-5.134259259259259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'FlamingGorge-Elevation-Area'!$O$265:$O$296</c:f>
              <c:numCache>
                <c:formatCode>0.00</c:formatCode>
                <c:ptCount val="32"/>
                <c:pt idx="0">
                  <c:v>227950</c:v>
                </c:pt>
                <c:pt idx="1">
                  <c:v>257450</c:v>
                </c:pt>
                <c:pt idx="2">
                  <c:v>290250</c:v>
                </c:pt>
                <c:pt idx="3">
                  <c:v>326187.5</c:v>
                </c:pt>
                <c:pt idx="4">
                  <c:v>365100</c:v>
                </c:pt>
                <c:pt idx="5">
                  <c:v>407362.5</c:v>
                </c:pt>
                <c:pt idx="6">
                  <c:v>453350</c:v>
                </c:pt>
                <c:pt idx="7">
                  <c:v>503137.5</c:v>
                </c:pt>
                <c:pt idx="8">
                  <c:v>556800</c:v>
                </c:pt>
                <c:pt idx="9">
                  <c:v>614162.5</c:v>
                </c:pt>
                <c:pt idx="10">
                  <c:v>675050</c:v>
                </c:pt>
                <c:pt idx="11">
                  <c:v>739825</c:v>
                </c:pt>
                <c:pt idx="12">
                  <c:v>808850</c:v>
                </c:pt>
                <c:pt idx="13">
                  <c:v>882687.5</c:v>
                </c:pt>
                <c:pt idx="14">
                  <c:v>961900</c:v>
                </c:pt>
                <c:pt idx="15">
                  <c:v>1046450</c:v>
                </c:pt>
                <c:pt idx="16">
                  <c:v>1136300</c:v>
                </c:pt>
                <c:pt idx="17">
                  <c:v>1231225</c:v>
                </c:pt>
                <c:pt idx="18">
                  <c:v>1331000</c:v>
                </c:pt>
                <c:pt idx="19">
                  <c:v>1435625</c:v>
                </c:pt>
                <c:pt idx="20">
                  <c:v>1545100</c:v>
                </c:pt>
                <c:pt idx="21">
                  <c:v>1660312.5</c:v>
                </c:pt>
                <c:pt idx="22">
                  <c:v>1782150</c:v>
                </c:pt>
                <c:pt idx="23">
                  <c:v>1910125</c:v>
                </c:pt>
                <c:pt idx="24">
                  <c:v>2043750</c:v>
                </c:pt>
                <c:pt idx="25">
                  <c:v>2183475</c:v>
                </c:pt>
                <c:pt idx="26">
                  <c:v>2329750</c:v>
                </c:pt>
                <c:pt idx="27">
                  <c:v>2482387.5</c:v>
                </c:pt>
                <c:pt idx="28">
                  <c:v>2641200</c:v>
                </c:pt>
                <c:pt idx="29">
                  <c:v>2806750</c:v>
                </c:pt>
                <c:pt idx="30">
                  <c:v>2979600</c:v>
                </c:pt>
                <c:pt idx="31">
                  <c:v>3160200</c:v>
                </c:pt>
              </c:numCache>
            </c:numRef>
          </c:xVal>
          <c:yVal>
            <c:numRef>
              <c:f>'FlamingGorge-Elevation-Area'!$P$265:$P$296</c:f>
              <c:numCache>
                <c:formatCode>0.00</c:formatCode>
                <c:ptCount val="32"/>
                <c:pt idx="0">
                  <c:v>5870</c:v>
                </c:pt>
                <c:pt idx="1">
                  <c:v>5875</c:v>
                </c:pt>
                <c:pt idx="2">
                  <c:v>5880</c:v>
                </c:pt>
                <c:pt idx="3">
                  <c:v>5885</c:v>
                </c:pt>
                <c:pt idx="4">
                  <c:v>5890</c:v>
                </c:pt>
                <c:pt idx="5">
                  <c:v>5895</c:v>
                </c:pt>
                <c:pt idx="6">
                  <c:v>5900</c:v>
                </c:pt>
                <c:pt idx="7">
                  <c:v>5905</c:v>
                </c:pt>
                <c:pt idx="8">
                  <c:v>5910</c:v>
                </c:pt>
                <c:pt idx="9">
                  <c:v>5915</c:v>
                </c:pt>
                <c:pt idx="10">
                  <c:v>5920</c:v>
                </c:pt>
                <c:pt idx="11">
                  <c:v>5925</c:v>
                </c:pt>
                <c:pt idx="12">
                  <c:v>5930</c:v>
                </c:pt>
                <c:pt idx="13">
                  <c:v>5935</c:v>
                </c:pt>
                <c:pt idx="14">
                  <c:v>5940</c:v>
                </c:pt>
                <c:pt idx="15">
                  <c:v>5945</c:v>
                </c:pt>
                <c:pt idx="16">
                  <c:v>5950</c:v>
                </c:pt>
                <c:pt idx="17">
                  <c:v>5955</c:v>
                </c:pt>
                <c:pt idx="18">
                  <c:v>5960</c:v>
                </c:pt>
                <c:pt idx="19">
                  <c:v>5965</c:v>
                </c:pt>
                <c:pt idx="20">
                  <c:v>5970</c:v>
                </c:pt>
                <c:pt idx="21">
                  <c:v>5975</c:v>
                </c:pt>
                <c:pt idx="22">
                  <c:v>5980</c:v>
                </c:pt>
                <c:pt idx="23">
                  <c:v>5985</c:v>
                </c:pt>
                <c:pt idx="24">
                  <c:v>5990</c:v>
                </c:pt>
                <c:pt idx="25">
                  <c:v>5995</c:v>
                </c:pt>
                <c:pt idx="26">
                  <c:v>6000</c:v>
                </c:pt>
                <c:pt idx="27">
                  <c:v>6005</c:v>
                </c:pt>
                <c:pt idx="28">
                  <c:v>6010</c:v>
                </c:pt>
                <c:pt idx="29">
                  <c:v>6015</c:v>
                </c:pt>
                <c:pt idx="30">
                  <c:v>6020</c:v>
                </c:pt>
                <c:pt idx="31">
                  <c:v>6025</c:v>
                </c:pt>
              </c:numCache>
            </c:numRef>
          </c:yVal>
          <c:smooth val="0"/>
          <c:extLst>
            <c:ext xmlns:c16="http://schemas.microsoft.com/office/drawing/2014/chart" uri="{C3380CC4-5D6E-409C-BE32-E72D297353CC}">
              <c16:uniqueId val="{00000000-CB39-4D68-ABEC-70EC4227D201}"/>
            </c:ext>
          </c:extLst>
        </c:ser>
        <c:dLbls>
          <c:showLegendKey val="0"/>
          <c:showVal val="0"/>
          <c:showCatName val="0"/>
          <c:showSerName val="0"/>
          <c:showPercent val="0"/>
          <c:showBubbleSize val="0"/>
        </c:dLbls>
        <c:axId val="1740654943"/>
        <c:axId val="1740642463"/>
      </c:scatterChart>
      <c:valAx>
        <c:axId val="174065494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642463"/>
        <c:crosses val="autoZero"/>
        <c:crossBetween val="midCat"/>
      </c:valAx>
      <c:valAx>
        <c:axId val="17406424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6549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Storage Versus Elevation Function</a:t>
            </a:r>
          </a:p>
        </c:rich>
      </c:tx>
      <c:layout>
        <c:manualLayout>
          <c:xMode val="edge"/>
          <c:yMode val="edge"/>
          <c:x val="0.40949300087489071"/>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12439698162729659"/>
                  <c:y val="-5.0462962962962961E-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'FlamingGorge-Elevation-Area'!$S$265:$S$571</c:f>
              <c:numCache>
                <c:formatCode>General</c:formatCode>
                <c:ptCount val="307"/>
                <c:pt idx="0">
                  <c:v>227950</c:v>
                </c:pt>
                <c:pt idx="1">
                  <c:v>230751.5</c:v>
                </c:pt>
                <c:pt idx="2">
                  <c:v>233586</c:v>
                </c:pt>
                <c:pt idx="3">
                  <c:v>236453.5</c:v>
                </c:pt>
                <c:pt idx="4">
                  <c:v>239354</c:v>
                </c:pt>
                <c:pt idx="5">
                  <c:v>242287.5</c:v>
                </c:pt>
                <c:pt idx="6">
                  <c:v>245254</c:v>
                </c:pt>
                <c:pt idx="7">
                  <c:v>248253.5</c:v>
                </c:pt>
                <c:pt idx="8">
                  <c:v>251286</c:v>
                </c:pt>
                <c:pt idx="9">
                  <c:v>254351.5</c:v>
                </c:pt>
                <c:pt idx="10">
                  <c:v>257450</c:v>
                </c:pt>
                <c:pt idx="11">
                  <c:v>260581.5</c:v>
                </c:pt>
                <c:pt idx="12">
                  <c:v>263746</c:v>
                </c:pt>
                <c:pt idx="13">
                  <c:v>266943.5</c:v>
                </c:pt>
                <c:pt idx="14">
                  <c:v>270174</c:v>
                </c:pt>
                <c:pt idx="15">
                  <c:v>273437.5</c:v>
                </c:pt>
                <c:pt idx="16">
                  <c:v>276734</c:v>
                </c:pt>
                <c:pt idx="17">
                  <c:v>280063.5</c:v>
                </c:pt>
                <c:pt idx="18">
                  <c:v>283426</c:v>
                </c:pt>
                <c:pt idx="19">
                  <c:v>286821.5</c:v>
                </c:pt>
                <c:pt idx="20">
                  <c:v>290250</c:v>
                </c:pt>
                <c:pt idx="21">
                  <c:v>293709.88</c:v>
                </c:pt>
                <c:pt idx="22">
                  <c:v>297199.5</c:v>
                </c:pt>
                <c:pt idx="23">
                  <c:v>300718.88</c:v>
                </c:pt>
                <c:pt idx="24">
                  <c:v>304268</c:v>
                </c:pt>
                <c:pt idx="25">
                  <c:v>307846.88</c:v>
                </c:pt>
                <c:pt idx="26">
                  <c:v>311455.5</c:v>
                </c:pt>
                <c:pt idx="27">
                  <c:v>315093.88</c:v>
                </c:pt>
                <c:pt idx="28">
                  <c:v>318762</c:v>
                </c:pt>
                <c:pt idx="29">
                  <c:v>322459.88</c:v>
                </c:pt>
                <c:pt idx="30">
                  <c:v>326187.5</c:v>
                </c:pt>
                <c:pt idx="31">
                  <c:v>329944.88</c:v>
                </c:pt>
                <c:pt idx="32">
                  <c:v>333732</c:v>
                </c:pt>
                <c:pt idx="33">
                  <c:v>337548.88</c:v>
                </c:pt>
                <c:pt idx="34">
                  <c:v>341395.5</c:v>
                </c:pt>
                <c:pt idx="35">
                  <c:v>345271.88</c:v>
                </c:pt>
                <c:pt idx="36">
                  <c:v>349178</c:v>
                </c:pt>
                <c:pt idx="37">
                  <c:v>353113.88</c:v>
                </c:pt>
                <c:pt idx="38">
                  <c:v>357079.5</c:v>
                </c:pt>
                <c:pt idx="39">
                  <c:v>361074.88</c:v>
                </c:pt>
                <c:pt idx="40">
                  <c:v>365100</c:v>
                </c:pt>
                <c:pt idx="41">
                  <c:v>369158.63</c:v>
                </c:pt>
                <c:pt idx="42">
                  <c:v>373254.5</c:v>
                </c:pt>
                <c:pt idx="43">
                  <c:v>377387.63</c:v>
                </c:pt>
                <c:pt idx="44">
                  <c:v>381558</c:v>
                </c:pt>
                <c:pt idx="45">
                  <c:v>385765.63</c:v>
                </c:pt>
                <c:pt idx="46">
                  <c:v>390010.5</c:v>
                </c:pt>
                <c:pt idx="47">
                  <c:v>394292.63</c:v>
                </c:pt>
                <c:pt idx="48">
                  <c:v>398612</c:v>
                </c:pt>
                <c:pt idx="49">
                  <c:v>402968.63</c:v>
                </c:pt>
                <c:pt idx="50">
                  <c:v>407362.5</c:v>
                </c:pt>
                <c:pt idx="51">
                  <c:v>411793.63</c:v>
                </c:pt>
                <c:pt idx="52">
                  <c:v>416262</c:v>
                </c:pt>
                <c:pt idx="53">
                  <c:v>420767.63</c:v>
                </c:pt>
                <c:pt idx="54">
                  <c:v>425310.5</c:v>
                </c:pt>
                <c:pt idx="55">
                  <c:v>429890.63</c:v>
                </c:pt>
                <c:pt idx="56">
                  <c:v>434508</c:v>
                </c:pt>
                <c:pt idx="57">
                  <c:v>439162.63</c:v>
                </c:pt>
                <c:pt idx="58">
                  <c:v>443854.5</c:v>
                </c:pt>
                <c:pt idx="59">
                  <c:v>448583.63</c:v>
                </c:pt>
                <c:pt idx="60">
                  <c:v>453350</c:v>
                </c:pt>
                <c:pt idx="61">
                  <c:v>458154.38</c:v>
                </c:pt>
                <c:pt idx="62">
                  <c:v>462997.5</c:v>
                </c:pt>
                <c:pt idx="63">
                  <c:v>467879.38</c:v>
                </c:pt>
                <c:pt idx="64">
                  <c:v>472800</c:v>
                </c:pt>
                <c:pt idx="65">
                  <c:v>477759.38</c:v>
                </c:pt>
                <c:pt idx="66">
                  <c:v>482757.5</c:v>
                </c:pt>
                <c:pt idx="67">
                  <c:v>487794.38</c:v>
                </c:pt>
                <c:pt idx="68">
                  <c:v>492870</c:v>
                </c:pt>
                <c:pt idx="69">
                  <c:v>497984.38</c:v>
                </c:pt>
                <c:pt idx="70">
                  <c:v>503137.5</c:v>
                </c:pt>
                <c:pt idx="71">
                  <c:v>508329.38</c:v>
                </c:pt>
                <c:pt idx="72">
                  <c:v>513560</c:v>
                </c:pt>
                <c:pt idx="73">
                  <c:v>518829.38</c:v>
                </c:pt>
                <c:pt idx="74">
                  <c:v>524137.5</c:v>
                </c:pt>
                <c:pt idx="75">
                  <c:v>529484.38</c:v>
                </c:pt>
                <c:pt idx="76">
                  <c:v>534870</c:v>
                </c:pt>
                <c:pt idx="77">
                  <c:v>540294.38</c:v>
                </c:pt>
                <c:pt idx="78">
                  <c:v>545757.5</c:v>
                </c:pt>
                <c:pt idx="79">
                  <c:v>551259.38</c:v>
                </c:pt>
                <c:pt idx="80">
                  <c:v>556800</c:v>
                </c:pt>
                <c:pt idx="81">
                  <c:v>562377.63</c:v>
                </c:pt>
                <c:pt idx="82">
                  <c:v>567990.5</c:v>
                </c:pt>
                <c:pt idx="83">
                  <c:v>573638.63</c:v>
                </c:pt>
                <c:pt idx="84">
                  <c:v>579322</c:v>
                </c:pt>
                <c:pt idx="85">
                  <c:v>585040.63</c:v>
                </c:pt>
                <c:pt idx="86">
                  <c:v>590794.5</c:v>
                </c:pt>
                <c:pt idx="87">
                  <c:v>596583.63</c:v>
                </c:pt>
                <c:pt idx="88">
                  <c:v>602408</c:v>
                </c:pt>
                <c:pt idx="89">
                  <c:v>608267.63</c:v>
                </c:pt>
                <c:pt idx="90">
                  <c:v>614162.5</c:v>
                </c:pt>
                <c:pt idx="91">
                  <c:v>620092.63</c:v>
                </c:pt>
                <c:pt idx="92">
                  <c:v>626058</c:v>
                </c:pt>
                <c:pt idx="93">
                  <c:v>632058.63</c:v>
                </c:pt>
                <c:pt idx="94">
                  <c:v>638094.5</c:v>
                </c:pt>
                <c:pt idx="95">
                  <c:v>644165.63</c:v>
                </c:pt>
                <c:pt idx="96">
                  <c:v>650272</c:v>
                </c:pt>
                <c:pt idx="97">
                  <c:v>656413.63</c:v>
                </c:pt>
                <c:pt idx="98">
                  <c:v>662590.5</c:v>
                </c:pt>
                <c:pt idx="99">
                  <c:v>668802.63</c:v>
                </c:pt>
                <c:pt idx="100">
                  <c:v>675050</c:v>
                </c:pt>
                <c:pt idx="101">
                  <c:v>681336.25</c:v>
                </c:pt>
                <c:pt idx="102">
                  <c:v>687665</c:v>
                </c:pt>
                <c:pt idx="103">
                  <c:v>694036.25</c:v>
                </c:pt>
                <c:pt idx="104">
                  <c:v>700450</c:v>
                </c:pt>
                <c:pt idx="105">
                  <c:v>706906.25</c:v>
                </c:pt>
                <c:pt idx="106">
                  <c:v>713405</c:v>
                </c:pt>
                <c:pt idx="107">
                  <c:v>719946.25</c:v>
                </c:pt>
                <c:pt idx="108">
                  <c:v>726530</c:v>
                </c:pt>
                <c:pt idx="109">
                  <c:v>733156.25</c:v>
                </c:pt>
                <c:pt idx="110">
                  <c:v>739825</c:v>
                </c:pt>
                <c:pt idx="111">
                  <c:v>746536.25</c:v>
                </c:pt>
                <c:pt idx="112">
                  <c:v>753290</c:v>
                </c:pt>
                <c:pt idx="113">
                  <c:v>760086.25</c:v>
                </c:pt>
                <c:pt idx="114">
                  <c:v>766925</c:v>
                </c:pt>
                <c:pt idx="115">
                  <c:v>773806.25</c:v>
                </c:pt>
                <c:pt idx="116">
                  <c:v>780730</c:v>
                </c:pt>
                <c:pt idx="117">
                  <c:v>787696.25</c:v>
                </c:pt>
                <c:pt idx="118">
                  <c:v>794705</c:v>
                </c:pt>
                <c:pt idx="119">
                  <c:v>801756.25</c:v>
                </c:pt>
                <c:pt idx="120">
                  <c:v>808850</c:v>
                </c:pt>
                <c:pt idx="121">
                  <c:v>815991.88</c:v>
                </c:pt>
                <c:pt idx="122">
                  <c:v>823187.5</c:v>
                </c:pt>
                <c:pt idx="123">
                  <c:v>830436.88</c:v>
                </c:pt>
                <c:pt idx="124">
                  <c:v>837740</c:v>
                </c:pt>
                <c:pt idx="125">
                  <c:v>845096.88</c:v>
                </c:pt>
                <c:pt idx="126">
                  <c:v>852507.5</c:v>
                </c:pt>
                <c:pt idx="127">
                  <c:v>859971.88</c:v>
                </c:pt>
                <c:pt idx="128">
                  <c:v>867490</c:v>
                </c:pt>
                <c:pt idx="129">
                  <c:v>875061.88</c:v>
                </c:pt>
                <c:pt idx="130">
                  <c:v>882687.5</c:v>
                </c:pt>
                <c:pt idx="131">
                  <c:v>890366.88</c:v>
                </c:pt>
                <c:pt idx="132">
                  <c:v>898100</c:v>
                </c:pt>
                <c:pt idx="133">
                  <c:v>905886.88</c:v>
                </c:pt>
                <c:pt idx="134">
                  <c:v>913727.5</c:v>
                </c:pt>
                <c:pt idx="135">
                  <c:v>921621.88</c:v>
                </c:pt>
                <c:pt idx="136">
                  <c:v>929570</c:v>
                </c:pt>
                <c:pt idx="137">
                  <c:v>937571.88</c:v>
                </c:pt>
                <c:pt idx="138">
                  <c:v>945627.5</c:v>
                </c:pt>
                <c:pt idx="139">
                  <c:v>953736.88</c:v>
                </c:pt>
                <c:pt idx="140">
                  <c:v>961900</c:v>
                </c:pt>
                <c:pt idx="141">
                  <c:v>970116.5</c:v>
                </c:pt>
                <c:pt idx="142">
                  <c:v>978386</c:v>
                </c:pt>
                <c:pt idx="143">
                  <c:v>986708.5</c:v>
                </c:pt>
                <c:pt idx="144">
                  <c:v>995084</c:v>
                </c:pt>
                <c:pt idx="145">
                  <c:v>1003512.5</c:v>
                </c:pt>
                <c:pt idx="146">
                  <c:v>1011994</c:v>
                </c:pt>
                <c:pt idx="147">
                  <c:v>1020528.5</c:v>
                </c:pt>
                <c:pt idx="148">
                  <c:v>1029116</c:v>
                </c:pt>
                <c:pt idx="149">
                  <c:v>1037756.5</c:v>
                </c:pt>
                <c:pt idx="150">
                  <c:v>1046450</c:v>
                </c:pt>
                <c:pt idx="151">
                  <c:v>1055196.5</c:v>
                </c:pt>
                <c:pt idx="152">
                  <c:v>1063996</c:v>
                </c:pt>
                <c:pt idx="153">
                  <c:v>1072848.5</c:v>
                </c:pt>
                <c:pt idx="154">
                  <c:v>1081754</c:v>
                </c:pt>
                <c:pt idx="155">
                  <c:v>1090712.5</c:v>
                </c:pt>
                <c:pt idx="156">
                  <c:v>1099724</c:v>
                </c:pt>
                <c:pt idx="157">
                  <c:v>1108788.5</c:v>
                </c:pt>
                <c:pt idx="158">
                  <c:v>1117906</c:v>
                </c:pt>
                <c:pt idx="159">
                  <c:v>1127076.5</c:v>
                </c:pt>
                <c:pt idx="160">
                  <c:v>1136300</c:v>
                </c:pt>
                <c:pt idx="161">
                  <c:v>1145574.25</c:v>
                </c:pt>
                <c:pt idx="162">
                  <c:v>1154897</c:v>
                </c:pt>
                <c:pt idx="163">
                  <c:v>1164268.25</c:v>
                </c:pt>
                <c:pt idx="164">
                  <c:v>1173688</c:v>
                </c:pt>
                <c:pt idx="165">
                  <c:v>1183156.25</c:v>
                </c:pt>
                <c:pt idx="166">
                  <c:v>1192673</c:v>
                </c:pt>
                <c:pt idx="167">
                  <c:v>1202238.25</c:v>
                </c:pt>
                <c:pt idx="168">
                  <c:v>1211852</c:v>
                </c:pt>
                <c:pt idx="169">
                  <c:v>1221514.25</c:v>
                </c:pt>
                <c:pt idx="170">
                  <c:v>1231225</c:v>
                </c:pt>
                <c:pt idx="171">
                  <c:v>1240984.25</c:v>
                </c:pt>
                <c:pt idx="172">
                  <c:v>1250792</c:v>
                </c:pt>
                <c:pt idx="173">
                  <c:v>1260648.25</c:v>
                </c:pt>
                <c:pt idx="174">
                  <c:v>1270553</c:v>
                </c:pt>
                <c:pt idx="175">
                  <c:v>1280506.25</c:v>
                </c:pt>
                <c:pt idx="176">
                  <c:v>1290508</c:v>
                </c:pt>
                <c:pt idx="177">
                  <c:v>1300558.25</c:v>
                </c:pt>
                <c:pt idx="178">
                  <c:v>1310657</c:v>
                </c:pt>
                <c:pt idx="179">
                  <c:v>1320804.25</c:v>
                </c:pt>
                <c:pt idx="180">
                  <c:v>1331000</c:v>
                </c:pt>
                <c:pt idx="181">
                  <c:v>1341244.25</c:v>
                </c:pt>
                <c:pt idx="182">
                  <c:v>1351537</c:v>
                </c:pt>
                <c:pt idx="183">
                  <c:v>1361878.25</c:v>
                </c:pt>
                <c:pt idx="184">
                  <c:v>1372268</c:v>
                </c:pt>
                <c:pt idx="185">
                  <c:v>1382706.25</c:v>
                </c:pt>
                <c:pt idx="186">
                  <c:v>1393193</c:v>
                </c:pt>
                <c:pt idx="187">
                  <c:v>1403728.25</c:v>
                </c:pt>
                <c:pt idx="188">
                  <c:v>1414312</c:v>
                </c:pt>
                <c:pt idx="189">
                  <c:v>1424944.25</c:v>
                </c:pt>
                <c:pt idx="190">
                  <c:v>1435625</c:v>
                </c:pt>
                <c:pt idx="191">
                  <c:v>1446354.25</c:v>
                </c:pt>
                <c:pt idx="192">
                  <c:v>1457132</c:v>
                </c:pt>
                <c:pt idx="193">
                  <c:v>1467958.25</c:v>
                </c:pt>
                <c:pt idx="194">
                  <c:v>1478833</c:v>
                </c:pt>
                <c:pt idx="195">
                  <c:v>1489756.25</c:v>
                </c:pt>
                <c:pt idx="196">
                  <c:v>1500728</c:v>
                </c:pt>
                <c:pt idx="197">
                  <c:v>1511748.25</c:v>
                </c:pt>
                <c:pt idx="198">
                  <c:v>1522817</c:v>
                </c:pt>
                <c:pt idx="199">
                  <c:v>1533934.25</c:v>
                </c:pt>
                <c:pt idx="200">
                  <c:v>1545100</c:v>
                </c:pt>
                <c:pt idx="201">
                  <c:v>1556323.13</c:v>
                </c:pt>
                <c:pt idx="202">
                  <c:v>1567612.5</c:v>
                </c:pt>
                <c:pt idx="203">
                  <c:v>1578968.13</c:v>
                </c:pt>
                <c:pt idx="204">
                  <c:v>1590390</c:v>
                </c:pt>
                <c:pt idx="205">
                  <c:v>1601878.13</c:v>
                </c:pt>
                <c:pt idx="206">
                  <c:v>1613432.5</c:v>
                </c:pt>
                <c:pt idx="207">
                  <c:v>1625053.13</c:v>
                </c:pt>
                <c:pt idx="208">
                  <c:v>1636740</c:v>
                </c:pt>
                <c:pt idx="209">
                  <c:v>1648493.13</c:v>
                </c:pt>
                <c:pt idx="210">
                  <c:v>1660312.5</c:v>
                </c:pt>
                <c:pt idx="211">
                  <c:v>1672198.13</c:v>
                </c:pt>
                <c:pt idx="212">
                  <c:v>1684150</c:v>
                </c:pt>
                <c:pt idx="213">
                  <c:v>1696168.13</c:v>
                </c:pt>
                <c:pt idx="214">
                  <c:v>1708252.5</c:v>
                </c:pt>
                <c:pt idx="215">
                  <c:v>1720403.13</c:v>
                </c:pt>
                <c:pt idx="216">
                  <c:v>1732620</c:v>
                </c:pt>
                <c:pt idx="217">
                  <c:v>1744903.13</c:v>
                </c:pt>
                <c:pt idx="218">
                  <c:v>1757252.5</c:v>
                </c:pt>
                <c:pt idx="219">
                  <c:v>1769668.13</c:v>
                </c:pt>
                <c:pt idx="220">
                  <c:v>1782150</c:v>
                </c:pt>
                <c:pt idx="221">
                  <c:v>1794693.25</c:v>
                </c:pt>
                <c:pt idx="222">
                  <c:v>1807293</c:v>
                </c:pt>
                <c:pt idx="223">
                  <c:v>1819949.25</c:v>
                </c:pt>
                <c:pt idx="224">
                  <c:v>1832662</c:v>
                </c:pt>
                <c:pt idx="225">
                  <c:v>1845431.25</c:v>
                </c:pt>
                <c:pt idx="226">
                  <c:v>1858257</c:v>
                </c:pt>
                <c:pt idx="227">
                  <c:v>1871139.25</c:v>
                </c:pt>
                <c:pt idx="228">
                  <c:v>1884078</c:v>
                </c:pt>
                <c:pt idx="229">
                  <c:v>1897073.25</c:v>
                </c:pt>
                <c:pt idx="230">
                  <c:v>1910125</c:v>
                </c:pt>
                <c:pt idx="231">
                  <c:v>1923233.25</c:v>
                </c:pt>
                <c:pt idx="232">
                  <c:v>1936398</c:v>
                </c:pt>
                <c:pt idx="233">
                  <c:v>1949619.25</c:v>
                </c:pt>
                <c:pt idx="234">
                  <c:v>1962897</c:v>
                </c:pt>
                <c:pt idx="235">
                  <c:v>1976231.25</c:v>
                </c:pt>
                <c:pt idx="236">
                  <c:v>1989622</c:v>
                </c:pt>
                <c:pt idx="237">
                  <c:v>2003069.25</c:v>
                </c:pt>
                <c:pt idx="238">
                  <c:v>2016573</c:v>
                </c:pt>
                <c:pt idx="239">
                  <c:v>2030133.25</c:v>
                </c:pt>
                <c:pt idx="240">
                  <c:v>2043750</c:v>
                </c:pt>
                <c:pt idx="241">
                  <c:v>2057427.75</c:v>
                </c:pt>
                <c:pt idx="242">
                  <c:v>2071171</c:v>
                </c:pt>
                <c:pt idx="243">
                  <c:v>2084979.75</c:v>
                </c:pt>
                <c:pt idx="244">
                  <c:v>2098854</c:v>
                </c:pt>
                <c:pt idx="245">
                  <c:v>2112793.75</c:v>
                </c:pt>
                <c:pt idx="246">
                  <c:v>2126799</c:v>
                </c:pt>
                <c:pt idx="247">
                  <c:v>2140869.75</c:v>
                </c:pt>
                <c:pt idx="248">
                  <c:v>2155006</c:v>
                </c:pt>
                <c:pt idx="249">
                  <c:v>2169207.75</c:v>
                </c:pt>
                <c:pt idx="250">
                  <c:v>2183475</c:v>
                </c:pt>
                <c:pt idx="251">
                  <c:v>2197807.75</c:v>
                </c:pt>
                <c:pt idx="252">
                  <c:v>2212206</c:v>
                </c:pt>
                <c:pt idx="253">
                  <c:v>2226669.75</c:v>
                </c:pt>
                <c:pt idx="254">
                  <c:v>2241199</c:v>
                </c:pt>
                <c:pt idx="255">
                  <c:v>2255793.75</c:v>
                </c:pt>
                <c:pt idx="256">
                  <c:v>2270454</c:v>
                </c:pt>
                <c:pt idx="257">
                  <c:v>2285179.75</c:v>
                </c:pt>
                <c:pt idx="258">
                  <c:v>2299971</c:v>
                </c:pt>
                <c:pt idx="259">
                  <c:v>2314827.75</c:v>
                </c:pt>
                <c:pt idx="260">
                  <c:v>2329750</c:v>
                </c:pt>
                <c:pt idx="261">
                  <c:v>2344735.88</c:v>
                </c:pt>
                <c:pt idx="262">
                  <c:v>2359783.5</c:v>
                </c:pt>
                <c:pt idx="263">
                  <c:v>2374892.88</c:v>
                </c:pt>
                <c:pt idx="264">
                  <c:v>2390064</c:v>
                </c:pt>
                <c:pt idx="265">
                  <c:v>2405296.88</c:v>
                </c:pt>
                <c:pt idx="266">
                  <c:v>2420591.5</c:v>
                </c:pt>
                <c:pt idx="267">
                  <c:v>2435947.88</c:v>
                </c:pt>
                <c:pt idx="268">
                  <c:v>2451366</c:v>
                </c:pt>
                <c:pt idx="269">
                  <c:v>2466845.88</c:v>
                </c:pt>
                <c:pt idx="270">
                  <c:v>2482387.5</c:v>
                </c:pt>
                <c:pt idx="271">
                  <c:v>2497990.88</c:v>
                </c:pt>
                <c:pt idx="272">
                  <c:v>2513656</c:v>
                </c:pt>
                <c:pt idx="273">
                  <c:v>2529382.88</c:v>
                </c:pt>
                <c:pt idx="274">
                  <c:v>2545171.5</c:v>
                </c:pt>
                <c:pt idx="275">
                  <c:v>2561021.88</c:v>
                </c:pt>
                <c:pt idx="276">
                  <c:v>2576934</c:v>
                </c:pt>
                <c:pt idx="277">
                  <c:v>2592907.88</c:v>
                </c:pt>
                <c:pt idx="278">
                  <c:v>2608943.5</c:v>
                </c:pt>
                <c:pt idx="279">
                  <c:v>2625040.88</c:v>
                </c:pt>
                <c:pt idx="280">
                  <c:v>2641200</c:v>
                </c:pt>
                <c:pt idx="281">
                  <c:v>2657426.5</c:v>
                </c:pt>
                <c:pt idx="282">
                  <c:v>2673726</c:v>
                </c:pt>
                <c:pt idx="283">
                  <c:v>2690098.5</c:v>
                </c:pt>
                <c:pt idx="284">
                  <c:v>2706544</c:v>
                </c:pt>
                <c:pt idx="285">
                  <c:v>2723062.5</c:v>
                </c:pt>
                <c:pt idx="286">
                  <c:v>2739654</c:v>
                </c:pt>
                <c:pt idx="287">
                  <c:v>2756318.5</c:v>
                </c:pt>
                <c:pt idx="288">
                  <c:v>2773056</c:v>
                </c:pt>
                <c:pt idx="289">
                  <c:v>2789866.5</c:v>
                </c:pt>
                <c:pt idx="290">
                  <c:v>2806750</c:v>
                </c:pt>
                <c:pt idx="291">
                  <c:v>2823706.5</c:v>
                </c:pt>
                <c:pt idx="292">
                  <c:v>2840736</c:v>
                </c:pt>
                <c:pt idx="293">
                  <c:v>2857838.5</c:v>
                </c:pt>
                <c:pt idx="294">
                  <c:v>2875014</c:v>
                </c:pt>
                <c:pt idx="295">
                  <c:v>2892262.5</c:v>
                </c:pt>
                <c:pt idx="296">
                  <c:v>2909584</c:v>
                </c:pt>
                <c:pt idx="297">
                  <c:v>2926978.5</c:v>
                </c:pt>
                <c:pt idx="298">
                  <c:v>2944446</c:v>
                </c:pt>
                <c:pt idx="299">
                  <c:v>2961986.5</c:v>
                </c:pt>
                <c:pt idx="300">
                  <c:v>2979600</c:v>
                </c:pt>
                <c:pt idx="301">
                  <c:v>2997291</c:v>
                </c:pt>
                <c:pt idx="302">
                  <c:v>3015064</c:v>
                </c:pt>
                <c:pt idx="303">
                  <c:v>3032919</c:v>
                </c:pt>
                <c:pt idx="304">
                  <c:v>3050856</c:v>
                </c:pt>
                <c:pt idx="305">
                  <c:v>3068875</c:v>
                </c:pt>
                <c:pt idx="306">
                  <c:v>3086976</c:v>
                </c:pt>
              </c:numCache>
            </c:numRef>
          </c:xVal>
          <c:yVal>
            <c:numRef>
              <c:f>'FlamingGorge-Elevation-Area'!$T$265:$T$571</c:f>
              <c:numCache>
                <c:formatCode>0.00</c:formatCode>
                <c:ptCount val="307"/>
                <c:pt idx="0">
                  <c:v>5870</c:v>
                </c:pt>
                <c:pt idx="1">
                  <c:v>5870.5</c:v>
                </c:pt>
                <c:pt idx="2">
                  <c:v>5871</c:v>
                </c:pt>
                <c:pt idx="3">
                  <c:v>5871.5</c:v>
                </c:pt>
                <c:pt idx="4">
                  <c:v>5872</c:v>
                </c:pt>
                <c:pt idx="5">
                  <c:v>5872.5</c:v>
                </c:pt>
                <c:pt idx="6">
                  <c:v>5873</c:v>
                </c:pt>
                <c:pt idx="7">
                  <c:v>5873.5</c:v>
                </c:pt>
                <c:pt idx="8">
                  <c:v>5874</c:v>
                </c:pt>
                <c:pt idx="9">
                  <c:v>5874.5</c:v>
                </c:pt>
                <c:pt idx="10">
                  <c:v>5875</c:v>
                </c:pt>
                <c:pt idx="11">
                  <c:v>5875.5</c:v>
                </c:pt>
                <c:pt idx="12">
                  <c:v>5876</c:v>
                </c:pt>
                <c:pt idx="13">
                  <c:v>5876.5</c:v>
                </c:pt>
                <c:pt idx="14">
                  <c:v>5877</c:v>
                </c:pt>
                <c:pt idx="15">
                  <c:v>5877.5</c:v>
                </c:pt>
                <c:pt idx="16">
                  <c:v>5878</c:v>
                </c:pt>
                <c:pt idx="17">
                  <c:v>5878.5</c:v>
                </c:pt>
                <c:pt idx="18">
                  <c:v>5879</c:v>
                </c:pt>
                <c:pt idx="19">
                  <c:v>5879.5</c:v>
                </c:pt>
                <c:pt idx="20">
                  <c:v>5880</c:v>
                </c:pt>
                <c:pt idx="21">
                  <c:v>5880.5</c:v>
                </c:pt>
                <c:pt idx="22">
                  <c:v>5881</c:v>
                </c:pt>
                <c:pt idx="23">
                  <c:v>5881.5</c:v>
                </c:pt>
                <c:pt idx="24">
                  <c:v>5882</c:v>
                </c:pt>
                <c:pt idx="25">
                  <c:v>5882.5</c:v>
                </c:pt>
                <c:pt idx="26">
                  <c:v>5883</c:v>
                </c:pt>
                <c:pt idx="27">
                  <c:v>5883.5</c:v>
                </c:pt>
                <c:pt idx="28">
                  <c:v>5884</c:v>
                </c:pt>
                <c:pt idx="29">
                  <c:v>5884.5</c:v>
                </c:pt>
                <c:pt idx="30">
                  <c:v>5885</c:v>
                </c:pt>
                <c:pt idx="31">
                  <c:v>5885.5</c:v>
                </c:pt>
                <c:pt idx="32">
                  <c:v>5886</c:v>
                </c:pt>
                <c:pt idx="33">
                  <c:v>5886.5</c:v>
                </c:pt>
                <c:pt idx="34">
                  <c:v>5887</c:v>
                </c:pt>
                <c:pt idx="35">
                  <c:v>5887.5</c:v>
                </c:pt>
                <c:pt idx="36">
                  <c:v>5888</c:v>
                </c:pt>
                <c:pt idx="37">
                  <c:v>5888.5</c:v>
                </c:pt>
                <c:pt idx="38">
                  <c:v>5889</c:v>
                </c:pt>
                <c:pt idx="39">
                  <c:v>5889.5</c:v>
                </c:pt>
                <c:pt idx="40">
                  <c:v>5890</c:v>
                </c:pt>
                <c:pt idx="41">
                  <c:v>5890.5</c:v>
                </c:pt>
                <c:pt idx="42">
                  <c:v>5891</c:v>
                </c:pt>
                <c:pt idx="43">
                  <c:v>5891.5</c:v>
                </c:pt>
                <c:pt idx="44">
                  <c:v>5892</c:v>
                </c:pt>
                <c:pt idx="45">
                  <c:v>5892.5</c:v>
                </c:pt>
                <c:pt idx="46">
                  <c:v>5893</c:v>
                </c:pt>
                <c:pt idx="47">
                  <c:v>5893.5</c:v>
                </c:pt>
                <c:pt idx="48">
                  <c:v>5894</c:v>
                </c:pt>
                <c:pt idx="49">
                  <c:v>5894.5</c:v>
                </c:pt>
                <c:pt idx="50">
                  <c:v>5895</c:v>
                </c:pt>
                <c:pt idx="51">
                  <c:v>5895.5</c:v>
                </c:pt>
                <c:pt idx="52">
                  <c:v>5896</c:v>
                </c:pt>
                <c:pt idx="53">
                  <c:v>5896.5</c:v>
                </c:pt>
                <c:pt idx="54">
                  <c:v>5897</c:v>
                </c:pt>
                <c:pt idx="55">
                  <c:v>5897.5</c:v>
                </c:pt>
                <c:pt idx="56">
                  <c:v>5898</c:v>
                </c:pt>
                <c:pt idx="57">
                  <c:v>5898.5</c:v>
                </c:pt>
                <c:pt idx="58">
                  <c:v>5899</c:v>
                </c:pt>
                <c:pt idx="59">
                  <c:v>5899.5</c:v>
                </c:pt>
                <c:pt idx="60">
                  <c:v>5900</c:v>
                </c:pt>
                <c:pt idx="61">
                  <c:v>5900.5</c:v>
                </c:pt>
                <c:pt idx="62">
                  <c:v>5901</c:v>
                </c:pt>
                <c:pt idx="63">
                  <c:v>5901.5</c:v>
                </c:pt>
                <c:pt idx="64">
                  <c:v>5902</c:v>
                </c:pt>
                <c:pt idx="65">
                  <c:v>5902.5</c:v>
                </c:pt>
                <c:pt idx="66">
                  <c:v>5903</c:v>
                </c:pt>
                <c:pt idx="67">
                  <c:v>5903.5</c:v>
                </c:pt>
                <c:pt idx="68">
                  <c:v>5904</c:v>
                </c:pt>
                <c:pt idx="69">
                  <c:v>5904.5</c:v>
                </c:pt>
                <c:pt idx="70">
                  <c:v>5905</c:v>
                </c:pt>
                <c:pt idx="71">
                  <c:v>5905.5</c:v>
                </c:pt>
                <c:pt idx="72">
                  <c:v>5906</c:v>
                </c:pt>
                <c:pt idx="73">
                  <c:v>5906.5</c:v>
                </c:pt>
                <c:pt idx="74">
                  <c:v>5907</c:v>
                </c:pt>
                <c:pt idx="75">
                  <c:v>5907.5</c:v>
                </c:pt>
                <c:pt idx="76">
                  <c:v>5908</c:v>
                </c:pt>
                <c:pt idx="77">
                  <c:v>5908.5</c:v>
                </c:pt>
                <c:pt idx="78">
                  <c:v>5909</c:v>
                </c:pt>
                <c:pt idx="79">
                  <c:v>5909.5</c:v>
                </c:pt>
                <c:pt idx="80">
                  <c:v>5910</c:v>
                </c:pt>
                <c:pt idx="81">
                  <c:v>5910.5</c:v>
                </c:pt>
                <c:pt idx="82">
                  <c:v>5911</c:v>
                </c:pt>
                <c:pt idx="83">
                  <c:v>5911.5</c:v>
                </c:pt>
                <c:pt idx="84">
                  <c:v>5912</c:v>
                </c:pt>
                <c:pt idx="85">
                  <c:v>5912.5</c:v>
                </c:pt>
                <c:pt idx="86">
                  <c:v>5913</c:v>
                </c:pt>
                <c:pt idx="87">
                  <c:v>5913.5</c:v>
                </c:pt>
                <c:pt idx="88">
                  <c:v>5914</c:v>
                </c:pt>
                <c:pt idx="89">
                  <c:v>5914.5</c:v>
                </c:pt>
                <c:pt idx="90">
                  <c:v>5915</c:v>
                </c:pt>
                <c:pt idx="91">
                  <c:v>5915.5</c:v>
                </c:pt>
                <c:pt idx="92">
                  <c:v>5916</c:v>
                </c:pt>
                <c:pt idx="93">
                  <c:v>5916.5</c:v>
                </c:pt>
                <c:pt idx="94">
                  <c:v>5917</c:v>
                </c:pt>
                <c:pt idx="95">
                  <c:v>5917.5</c:v>
                </c:pt>
                <c:pt idx="96">
                  <c:v>5918</c:v>
                </c:pt>
                <c:pt idx="97">
                  <c:v>5918.5</c:v>
                </c:pt>
                <c:pt idx="98">
                  <c:v>5919</c:v>
                </c:pt>
                <c:pt idx="99">
                  <c:v>5919.5</c:v>
                </c:pt>
                <c:pt idx="100">
                  <c:v>5920</c:v>
                </c:pt>
                <c:pt idx="101">
                  <c:v>5920.5</c:v>
                </c:pt>
                <c:pt idx="102">
                  <c:v>5921</c:v>
                </c:pt>
                <c:pt idx="103">
                  <c:v>5921.5</c:v>
                </c:pt>
                <c:pt idx="104">
                  <c:v>5922</c:v>
                </c:pt>
                <c:pt idx="105">
                  <c:v>5922.5</c:v>
                </c:pt>
                <c:pt idx="106">
                  <c:v>5923</c:v>
                </c:pt>
                <c:pt idx="107">
                  <c:v>5923.5</c:v>
                </c:pt>
                <c:pt idx="108">
                  <c:v>5924</c:v>
                </c:pt>
                <c:pt idx="109">
                  <c:v>5924.5</c:v>
                </c:pt>
                <c:pt idx="110">
                  <c:v>5925</c:v>
                </c:pt>
                <c:pt idx="111">
                  <c:v>5925.5</c:v>
                </c:pt>
                <c:pt idx="112">
                  <c:v>5926</c:v>
                </c:pt>
                <c:pt idx="113">
                  <c:v>5926.5</c:v>
                </c:pt>
                <c:pt idx="114">
                  <c:v>5927</c:v>
                </c:pt>
                <c:pt idx="115">
                  <c:v>5927.5</c:v>
                </c:pt>
                <c:pt idx="116">
                  <c:v>5928</c:v>
                </c:pt>
                <c:pt idx="117">
                  <c:v>5928.5</c:v>
                </c:pt>
                <c:pt idx="118">
                  <c:v>5929</c:v>
                </c:pt>
                <c:pt idx="119">
                  <c:v>5929.5</c:v>
                </c:pt>
                <c:pt idx="120">
                  <c:v>5930</c:v>
                </c:pt>
                <c:pt idx="121">
                  <c:v>5930.5</c:v>
                </c:pt>
                <c:pt idx="122">
                  <c:v>5931</c:v>
                </c:pt>
                <c:pt idx="123">
                  <c:v>5931.5</c:v>
                </c:pt>
                <c:pt idx="124">
                  <c:v>5932</c:v>
                </c:pt>
                <c:pt idx="125">
                  <c:v>5932.5</c:v>
                </c:pt>
                <c:pt idx="126">
                  <c:v>5933</c:v>
                </c:pt>
                <c:pt idx="127">
                  <c:v>5933.5</c:v>
                </c:pt>
                <c:pt idx="128">
                  <c:v>5934</c:v>
                </c:pt>
                <c:pt idx="129">
                  <c:v>5934.5</c:v>
                </c:pt>
                <c:pt idx="130">
                  <c:v>5935</c:v>
                </c:pt>
                <c:pt idx="131">
                  <c:v>5935.5</c:v>
                </c:pt>
                <c:pt idx="132">
                  <c:v>5936</c:v>
                </c:pt>
                <c:pt idx="133">
                  <c:v>5936.5</c:v>
                </c:pt>
                <c:pt idx="134">
                  <c:v>5937</c:v>
                </c:pt>
                <c:pt idx="135">
                  <c:v>5937.5</c:v>
                </c:pt>
                <c:pt idx="136">
                  <c:v>5938</c:v>
                </c:pt>
                <c:pt idx="137">
                  <c:v>5938.5</c:v>
                </c:pt>
                <c:pt idx="138">
                  <c:v>5939</c:v>
                </c:pt>
                <c:pt idx="139">
                  <c:v>5939.5</c:v>
                </c:pt>
                <c:pt idx="140">
                  <c:v>5940</c:v>
                </c:pt>
                <c:pt idx="141">
                  <c:v>5940.5</c:v>
                </c:pt>
                <c:pt idx="142">
                  <c:v>5941</c:v>
                </c:pt>
                <c:pt idx="143">
                  <c:v>5941.5</c:v>
                </c:pt>
                <c:pt idx="144">
                  <c:v>5942</c:v>
                </c:pt>
                <c:pt idx="145">
                  <c:v>5942.5</c:v>
                </c:pt>
                <c:pt idx="146">
                  <c:v>5943</c:v>
                </c:pt>
                <c:pt idx="147">
                  <c:v>5943.5</c:v>
                </c:pt>
                <c:pt idx="148">
                  <c:v>5944</c:v>
                </c:pt>
                <c:pt idx="149">
                  <c:v>5944.5</c:v>
                </c:pt>
                <c:pt idx="150">
                  <c:v>5945</c:v>
                </c:pt>
                <c:pt idx="151">
                  <c:v>5945.5</c:v>
                </c:pt>
                <c:pt idx="152">
                  <c:v>5946</c:v>
                </c:pt>
                <c:pt idx="153">
                  <c:v>5946.5</c:v>
                </c:pt>
                <c:pt idx="154">
                  <c:v>5947</c:v>
                </c:pt>
                <c:pt idx="155">
                  <c:v>5947.5</c:v>
                </c:pt>
                <c:pt idx="156">
                  <c:v>5948</c:v>
                </c:pt>
                <c:pt idx="157">
                  <c:v>5948.5</c:v>
                </c:pt>
                <c:pt idx="158">
                  <c:v>5949</c:v>
                </c:pt>
                <c:pt idx="159">
                  <c:v>5949.5</c:v>
                </c:pt>
                <c:pt idx="160">
                  <c:v>5950</c:v>
                </c:pt>
                <c:pt idx="161">
                  <c:v>5950.5</c:v>
                </c:pt>
                <c:pt idx="162">
                  <c:v>5951</c:v>
                </c:pt>
                <c:pt idx="163">
                  <c:v>5951.5</c:v>
                </c:pt>
                <c:pt idx="164">
                  <c:v>5952</c:v>
                </c:pt>
                <c:pt idx="165">
                  <c:v>5952.5</c:v>
                </c:pt>
                <c:pt idx="166">
                  <c:v>5953</c:v>
                </c:pt>
                <c:pt idx="167">
                  <c:v>5953.5</c:v>
                </c:pt>
                <c:pt idx="168">
                  <c:v>5954</c:v>
                </c:pt>
                <c:pt idx="169">
                  <c:v>5954.5</c:v>
                </c:pt>
                <c:pt idx="170">
                  <c:v>5955</c:v>
                </c:pt>
                <c:pt idx="171">
                  <c:v>5955.5</c:v>
                </c:pt>
                <c:pt idx="172">
                  <c:v>5956</c:v>
                </c:pt>
                <c:pt idx="173">
                  <c:v>5956.5</c:v>
                </c:pt>
                <c:pt idx="174">
                  <c:v>5957</c:v>
                </c:pt>
                <c:pt idx="175">
                  <c:v>5957.5</c:v>
                </c:pt>
                <c:pt idx="176">
                  <c:v>5958</c:v>
                </c:pt>
                <c:pt idx="177">
                  <c:v>5958.5</c:v>
                </c:pt>
                <c:pt idx="178">
                  <c:v>5959</c:v>
                </c:pt>
                <c:pt idx="179">
                  <c:v>5959.5</c:v>
                </c:pt>
                <c:pt idx="180">
                  <c:v>5960</c:v>
                </c:pt>
                <c:pt idx="181">
                  <c:v>5960.5</c:v>
                </c:pt>
                <c:pt idx="182">
                  <c:v>5961</c:v>
                </c:pt>
                <c:pt idx="183">
                  <c:v>5961.5</c:v>
                </c:pt>
                <c:pt idx="184">
                  <c:v>5962</c:v>
                </c:pt>
                <c:pt idx="185">
                  <c:v>5962.5</c:v>
                </c:pt>
                <c:pt idx="186">
                  <c:v>5963</c:v>
                </c:pt>
                <c:pt idx="187">
                  <c:v>5963.5</c:v>
                </c:pt>
                <c:pt idx="188">
                  <c:v>5964</c:v>
                </c:pt>
                <c:pt idx="189">
                  <c:v>5964.5</c:v>
                </c:pt>
                <c:pt idx="190">
                  <c:v>5965</c:v>
                </c:pt>
                <c:pt idx="191">
                  <c:v>5965.5</c:v>
                </c:pt>
                <c:pt idx="192">
                  <c:v>5966</c:v>
                </c:pt>
                <c:pt idx="193">
                  <c:v>5966.5</c:v>
                </c:pt>
                <c:pt idx="194">
                  <c:v>5967</c:v>
                </c:pt>
                <c:pt idx="195">
                  <c:v>5967.5</c:v>
                </c:pt>
                <c:pt idx="196">
                  <c:v>5968</c:v>
                </c:pt>
                <c:pt idx="197">
                  <c:v>5968.5</c:v>
                </c:pt>
                <c:pt idx="198">
                  <c:v>5969</c:v>
                </c:pt>
                <c:pt idx="199">
                  <c:v>5969.5</c:v>
                </c:pt>
                <c:pt idx="200">
                  <c:v>5970</c:v>
                </c:pt>
                <c:pt idx="201">
                  <c:v>5970.5</c:v>
                </c:pt>
                <c:pt idx="202">
                  <c:v>5971</c:v>
                </c:pt>
                <c:pt idx="203">
                  <c:v>5971.5</c:v>
                </c:pt>
                <c:pt idx="204">
                  <c:v>5972</c:v>
                </c:pt>
                <c:pt idx="205">
                  <c:v>5972.5</c:v>
                </c:pt>
                <c:pt idx="206">
                  <c:v>5973</c:v>
                </c:pt>
                <c:pt idx="207">
                  <c:v>5973.5</c:v>
                </c:pt>
                <c:pt idx="208">
                  <c:v>5974</c:v>
                </c:pt>
                <c:pt idx="209">
                  <c:v>5974.5</c:v>
                </c:pt>
                <c:pt idx="210">
                  <c:v>5975</c:v>
                </c:pt>
                <c:pt idx="211">
                  <c:v>5975.5</c:v>
                </c:pt>
                <c:pt idx="212">
                  <c:v>5976</c:v>
                </c:pt>
                <c:pt idx="213">
                  <c:v>5976.5</c:v>
                </c:pt>
                <c:pt idx="214">
                  <c:v>5977</c:v>
                </c:pt>
                <c:pt idx="215">
                  <c:v>5977.5</c:v>
                </c:pt>
                <c:pt idx="216">
                  <c:v>5978</c:v>
                </c:pt>
                <c:pt idx="217">
                  <c:v>5978.5</c:v>
                </c:pt>
                <c:pt idx="218">
                  <c:v>5979</c:v>
                </c:pt>
                <c:pt idx="219">
                  <c:v>5979.5</c:v>
                </c:pt>
                <c:pt idx="220">
                  <c:v>5980</c:v>
                </c:pt>
                <c:pt idx="221">
                  <c:v>5980.5</c:v>
                </c:pt>
                <c:pt idx="222">
                  <c:v>5981</c:v>
                </c:pt>
                <c:pt idx="223">
                  <c:v>5981.5</c:v>
                </c:pt>
                <c:pt idx="224">
                  <c:v>5982</c:v>
                </c:pt>
                <c:pt idx="225">
                  <c:v>5982.5</c:v>
                </c:pt>
                <c:pt idx="226">
                  <c:v>5983</c:v>
                </c:pt>
                <c:pt idx="227">
                  <c:v>5983.5</c:v>
                </c:pt>
                <c:pt idx="228">
                  <c:v>5984</c:v>
                </c:pt>
                <c:pt idx="229">
                  <c:v>5984.5</c:v>
                </c:pt>
                <c:pt idx="230">
                  <c:v>5985</c:v>
                </c:pt>
                <c:pt idx="231">
                  <c:v>5985.5</c:v>
                </c:pt>
                <c:pt idx="232">
                  <c:v>5986</c:v>
                </c:pt>
                <c:pt idx="233">
                  <c:v>5986.5</c:v>
                </c:pt>
                <c:pt idx="234">
                  <c:v>5987</c:v>
                </c:pt>
                <c:pt idx="235">
                  <c:v>5987.5</c:v>
                </c:pt>
                <c:pt idx="236">
                  <c:v>5988</c:v>
                </c:pt>
                <c:pt idx="237">
                  <c:v>5988.5</c:v>
                </c:pt>
                <c:pt idx="238">
                  <c:v>5989</c:v>
                </c:pt>
                <c:pt idx="239">
                  <c:v>5989.5</c:v>
                </c:pt>
                <c:pt idx="240">
                  <c:v>5990</c:v>
                </c:pt>
                <c:pt idx="241">
                  <c:v>5990.5</c:v>
                </c:pt>
                <c:pt idx="242">
                  <c:v>5991</c:v>
                </c:pt>
                <c:pt idx="243">
                  <c:v>5991.5</c:v>
                </c:pt>
                <c:pt idx="244">
                  <c:v>5992</c:v>
                </c:pt>
                <c:pt idx="245">
                  <c:v>5992.5</c:v>
                </c:pt>
                <c:pt idx="246">
                  <c:v>5993</c:v>
                </c:pt>
                <c:pt idx="247">
                  <c:v>5993.5</c:v>
                </c:pt>
                <c:pt idx="248">
                  <c:v>5994</c:v>
                </c:pt>
                <c:pt idx="249">
                  <c:v>5994.5</c:v>
                </c:pt>
                <c:pt idx="250">
                  <c:v>5995</c:v>
                </c:pt>
                <c:pt idx="251">
                  <c:v>5995.5</c:v>
                </c:pt>
                <c:pt idx="252">
                  <c:v>5996</c:v>
                </c:pt>
                <c:pt idx="253">
                  <c:v>5996.5</c:v>
                </c:pt>
                <c:pt idx="254">
                  <c:v>5997</c:v>
                </c:pt>
                <c:pt idx="255">
                  <c:v>5997.5</c:v>
                </c:pt>
                <c:pt idx="256">
                  <c:v>5998</c:v>
                </c:pt>
                <c:pt idx="257">
                  <c:v>5998.5</c:v>
                </c:pt>
                <c:pt idx="258">
                  <c:v>5999</c:v>
                </c:pt>
                <c:pt idx="259">
                  <c:v>5999.5</c:v>
                </c:pt>
                <c:pt idx="260">
                  <c:v>6000</c:v>
                </c:pt>
                <c:pt idx="261">
                  <c:v>6000.5</c:v>
                </c:pt>
                <c:pt idx="262">
                  <c:v>6001</c:v>
                </c:pt>
                <c:pt idx="263">
                  <c:v>6001.5</c:v>
                </c:pt>
                <c:pt idx="264">
                  <c:v>6002</c:v>
                </c:pt>
                <c:pt idx="265">
                  <c:v>6002.5</c:v>
                </c:pt>
                <c:pt idx="266">
                  <c:v>6003</c:v>
                </c:pt>
                <c:pt idx="267">
                  <c:v>6003.5</c:v>
                </c:pt>
                <c:pt idx="268">
                  <c:v>6004</c:v>
                </c:pt>
                <c:pt idx="269">
                  <c:v>6004.5</c:v>
                </c:pt>
                <c:pt idx="270">
                  <c:v>6005</c:v>
                </c:pt>
                <c:pt idx="271">
                  <c:v>6005.5</c:v>
                </c:pt>
                <c:pt idx="272">
                  <c:v>6006</c:v>
                </c:pt>
                <c:pt idx="273">
                  <c:v>6006.5</c:v>
                </c:pt>
                <c:pt idx="274">
                  <c:v>6007</c:v>
                </c:pt>
                <c:pt idx="275">
                  <c:v>6007.5</c:v>
                </c:pt>
                <c:pt idx="276">
                  <c:v>6008</c:v>
                </c:pt>
                <c:pt idx="277">
                  <c:v>6008.5</c:v>
                </c:pt>
                <c:pt idx="278">
                  <c:v>6009</c:v>
                </c:pt>
                <c:pt idx="279">
                  <c:v>6009.5</c:v>
                </c:pt>
                <c:pt idx="280">
                  <c:v>6010</c:v>
                </c:pt>
                <c:pt idx="281">
                  <c:v>6010.5</c:v>
                </c:pt>
                <c:pt idx="282">
                  <c:v>6011</c:v>
                </c:pt>
                <c:pt idx="283">
                  <c:v>6011.5</c:v>
                </c:pt>
                <c:pt idx="284">
                  <c:v>6012</c:v>
                </c:pt>
                <c:pt idx="285">
                  <c:v>6012.5</c:v>
                </c:pt>
                <c:pt idx="286">
                  <c:v>6013</c:v>
                </c:pt>
                <c:pt idx="287">
                  <c:v>6013.5</c:v>
                </c:pt>
                <c:pt idx="288">
                  <c:v>6014</c:v>
                </c:pt>
                <c:pt idx="289">
                  <c:v>6014.5</c:v>
                </c:pt>
                <c:pt idx="290">
                  <c:v>6015</c:v>
                </c:pt>
                <c:pt idx="291">
                  <c:v>6015.5</c:v>
                </c:pt>
                <c:pt idx="292">
                  <c:v>6016</c:v>
                </c:pt>
                <c:pt idx="293">
                  <c:v>6016.5</c:v>
                </c:pt>
                <c:pt idx="294">
                  <c:v>6017</c:v>
                </c:pt>
                <c:pt idx="295">
                  <c:v>6017.5</c:v>
                </c:pt>
                <c:pt idx="296">
                  <c:v>6018</c:v>
                </c:pt>
                <c:pt idx="297">
                  <c:v>6018.5</c:v>
                </c:pt>
                <c:pt idx="298">
                  <c:v>6019</c:v>
                </c:pt>
                <c:pt idx="299">
                  <c:v>6019.5</c:v>
                </c:pt>
                <c:pt idx="300">
                  <c:v>6020</c:v>
                </c:pt>
                <c:pt idx="301">
                  <c:v>6020.5</c:v>
                </c:pt>
                <c:pt idx="302">
                  <c:v>6021</c:v>
                </c:pt>
                <c:pt idx="303">
                  <c:v>6021.5</c:v>
                </c:pt>
                <c:pt idx="304">
                  <c:v>6022</c:v>
                </c:pt>
                <c:pt idx="305">
                  <c:v>6022.5</c:v>
                </c:pt>
                <c:pt idx="306">
                  <c:v>6023</c:v>
                </c:pt>
              </c:numCache>
            </c:numRef>
          </c:yVal>
          <c:smooth val="0"/>
          <c:extLst>
            <c:ext xmlns:c16="http://schemas.microsoft.com/office/drawing/2014/chart" uri="{C3380CC4-5D6E-409C-BE32-E72D297353CC}">
              <c16:uniqueId val="{00000001-D3BE-4856-8739-852DB6039C28}"/>
            </c:ext>
          </c:extLst>
        </c:ser>
        <c:dLbls>
          <c:showLegendKey val="0"/>
          <c:showVal val="0"/>
          <c:showCatName val="0"/>
          <c:showSerName val="0"/>
          <c:showPercent val="0"/>
          <c:showBubbleSize val="0"/>
        </c:dLbls>
        <c:axId val="1906009439"/>
        <c:axId val="1905986559"/>
      </c:scatterChart>
      <c:valAx>
        <c:axId val="19060094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986559"/>
        <c:crosses val="autoZero"/>
        <c:crossBetween val="midCat"/>
      </c:valAx>
      <c:valAx>
        <c:axId val="19059865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60094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504825</xdr:colOff>
      <xdr:row>0</xdr:row>
      <xdr:rowOff>76200</xdr:rowOff>
    </xdr:from>
    <xdr:to>
      <xdr:col>12</xdr:col>
      <xdr:colOff>200025</xdr:colOff>
      <xdr:row>9</xdr:row>
      <xdr:rowOff>152400</xdr:rowOff>
    </xdr:to>
    <xdr:graphicFrame macro="">
      <xdr:nvGraphicFramePr>
        <xdr:cNvPr id="3" name="Chart 2">
          <a:extLst>
            <a:ext uri="{FF2B5EF4-FFF2-40B4-BE49-F238E27FC236}">
              <a16:creationId xmlns:a16="http://schemas.microsoft.com/office/drawing/2014/main" id="{BAF7740E-62EC-4C6F-A5A4-49C60B2FD9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285750</xdr:colOff>
      <xdr:row>0</xdr:row>
      <xdr:rowOff>0</xdr:rowOff>
    </xdr:from>
    <xdr:to>
      <xdr:col>11</xdr:col>
      <xdr:colOff>603139</xdr:colOff>
      <xdr:row>7</xdr:row>
      <xdr:rowOff>82534</xdr:rowOff>
    </xdr:to>
    <xdr:pic>
      <xdr:nvPicPr>
        <xdr:cNvPr id="5" name="Picture 4">
          <a:extLst>
            <a:ext uri="{FF2B5EF4-FFF2-40B4-BE49-F238E27FC236}">
              <a16:creationId xmlns:a16="http://schemas.microsoft.com/office/drawing/2014/main" id="{27D48C70-F899-4AD9-AED7-02F560EBEE86}"/>
            </a:ext>
          </a:extLst>
        </xdr:cNvPr>
        <xdr:cNvPicPr>
          <a:picLocks noChangeAspect="1"/>
        </xdr:cNvPicPr>
      </xdr:nvPicPr>
      <xdr:blipFill>
        <a:blip xmlns:r="http://schemas.openxmlformats.org/officeDocument/2006/relationships" r:embed="rId2"/>
        <a:stretch>
          <a:fillRect/>
        </a:stretch>
      </xdr:blipFill>
      <xdr:spPr>
        <a:xfrm>
          <a:off x="4772025" y="0"/>
          <a:ext cx="4584589" cy="2749534"/>
        </a:xfrm>
        <a:prstGeom prst="rect">
          <a:avLst/>
        </a:prstGeom>
      </xdr:spPr>
    </xdr:pic>
    <xdr:clientData/>
  </xdr:twoCellAnchor>
  <xdr:twoCellAnchor>
    <xdr:from>
      <xdr:col>12</xdr:col>
      <xdr:colOff>485775</xdr:colOff>
      <xdr:row>0</xdr:row>
      <xdr:rowOff>142875</xdr:rowOff>
    </xdr:from>
    <xdr:to>
      <xdr:col>20</xdr:col>
      <xdr:colOff>180975</xdr:colOff>
      <xdr:row>10</xdr:row>
      <xdr:rowOff>28575</xdr:rowOff>
    </xdr:to>
    <xdr:graphicFrame macro="">
      <xdr:nvGraphicFramePr>
        <xdr:cNvPr id="6" name="Chart 5">
          <a:extLst>
            <a:ext uri="{FF2B5EF4-FFF2-40B4-BE49-F238E27FC236}">
              <a16:creationId xmlns:a16="http://schemas.microsoft.com/office/drawing/2014/main" id="{065DA9D0-4EE9-43C9-933F-E5690D8BFB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266700</xdr:colOff>
      <xdr:row>0</xdr:row>
      <xdr:rowOff>104775</xdr:rowOff>
    </xdr:from>
    <xdr:to>
      <xdr:col>19</xdr:col>
      <xdr:colOff>584089</xdr:colOff>
      <xdr:row>8</xdr:row>
      <xdr:rowOff>2906</xdr:rowOff>
    </xdr:to>
    <xdr:pic>
      <xdr:nvPicPr>
        <xdr:cNvPr id="7" name="Picture 6">
          <a:extLst>
            <a:ext uri="{FF2B5EF4-FFF2-40B4-BE49-F238E27FC236}">
              <a16:creationId xmlns:a16="http://schemas.microsoft.com/office/drawing/2014/main" id="{008E6702-6BD8-406A-8E5D-D374D4019D6A}"/>
            </a:ext>
          </a:extLst>
        </xdr:cNvPr>
        <xdr:cNvPicPr>
          <a:picLocks noChangeAspect="1"/>
        </xdr:cNvPicPr>
      </xdr:nvPicPr>
      <xdr:blipFill>
        <a:blip xmlns:r="http://schemas.openxmlformats.org/officeDocument/2006/relationships" r:embed="rId4"/>
        <a:stretch>
          <a:fillRect/>
        </a:stretch>
      </xdr:blipFill>
      <xdr:spPr>
        <a:xfrm>
          <a:off x="9629775" y="104775"/>
          <a:ext cx="4584589" cy="2755631"/>
        </a:xfrm>
        <a:prstGeom prst="rect">
          <a:avLst/>
        </a:prstGeom>
      </xdr:spPr>
    </xdr:pic>
    <xdr:clientData/>
  </xdr:twoCellAnchor>
  <xdr:twoCellAnchor>
    <xdr:from>
      <xdr:col>5</xdr:col>
      <xdr:colOff>304800</xdr:colOff>
      <xdr:row>26</xdr:row>
      <xdr:rowOff>0</xdr:rowOff>
    </xdr:from>
    <xdr:to>
      <xdr:col>13</xdr:col>
      <xdr:colOff>304800</xdr:colOff>
      <xdr:row>33</xdr:row>
      <xdr:rowOff>76200</xdr:rowOff>
    </xdr:to>
    <xdr:graphicFrame macro="">
      <xdr:nvGraphicFramePr>
        <xdr:cNvPr id="8" name="Chart 7">
          <a:extLst>
            <a:ext uri="{FF2B5EF4-FFF2-40B4-BE49-F238E27FC236}">
              <a16:creationId xmlns:a16="http://schemas.microsoft.com/office/drawing/2014/main" id="{DB3F3BCC-542F-4272-83C5-FD57737055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485775</xdr:colOff>
      <xdr:row>25</xdr:row>
      <xdr:rowOff>180975</xdr:rowOff>
    </xdr:from>
    <xdr:to>
      <xdr:col>21</xdr:col>
      <xdr:colOff>447675</xdr:colOff>
      <xdr:row>34</xdr:row>
      <xdr:rowOff>66675</xdr:rowOff>
    </xdr:to>
    <xdr:graphicFrame macro="">
      <xdr:nvGraphicFramePr>
        <xdr:cNvPr id="9" name="Chart 8">
          <a:extLst>
            <a:ext uri="{FF2B5EF4-FFF2-40B4-BE49-F238E27FC236}">
              <a16:creationId xmlns:a16="http://schemas.microsoft.com/office/drawing/2014/main" id="{F6B7D01B-E345-4D40-BDDE-AE2DDEB4AF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14</xdr:col>
      <xdr:colOff>327660</xdr:colOff>
      <xdr:row>0</xdr:row>
      <xdr:rowOff>0</xdr:rowOff>
    </xdr:from>
    <xdr:to>
      <xdr:col>22</xdr:col>
      <xdr:colOff>137160</xdr:colOff>
      <xdr:row>15</xdr:row>
      <xdr:rowOff>114300</xdr:rowOff>
    </xdr:to>
    <xdr:graphicFrame macro="">
      <xdr:nvGraphicFramePr>
        <xdr:cNvPr id="2" name="Chart 1">
          <a:extLst>
            <a:ext uri="{FF2B5EF4-FFF2-40B4-BE49-F238E27FC236}">
              <a16:creationId xmlns:a16="http://schemas.microsoft.com/office/drawing/2014/main" id="{C0C6D9F6-722C-427D-8A92-EEACB8E524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314597</xdr:colOff>
      <xdr:row>15</xdr:row>
      <xdr:rowOff>99060</xdr:rowOff>
    </xdr:from>
    <xdr:to>
      <xdr:col>22</xdr:col>
      <xdr:colOff>223157</xdr:colOff>
      <xdr:row>30</xdr:row>
      <xdr:rowOff>97972</xdr:rowOff>
    </xdr:to>
    <xdr:graphicFrame macro="">
      <xdr:nvGraphicFramePr>
        <xdr:cNvPr id="3" name="Chart 2">
          <a:extLst>
            <a:ext uri="{FF2B5EF4-FFF2-40B4-BE49-F238E27FC236}">
              <a16:creationId xmlns:a16="http://schemas.microsoft.com/office/drawing/2014/main" id="{E322E0BD-C16A-49E0-9DE7-7AE97B3B1B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297180</xdr:colOff>
      <xdr:row>31</xdr:row>
      <xdr:rowOff>0</xdr:rowOff>
    </xdr:from>
    <xdr:to>
      <xdr:col>22</xdr:col>
      <xdr:colOff>365760</xdr:colOff>
      <xdr:row>48</xdr:row>
      <xdr:rowOff>76200</xdr:rowOff>
    </xdr:to>
    <xdr:graphicFrame macro="">
      <xdr:nvGraphicFramePr>
        <xdr:cNvPr id="4" name="Chart 3">
          <a:extLst>
            <a:ext uri="{FF2B5EF4-FFF2-40B4-BE49-F238E27FC236}">
              <a16:creationId xmlns:a16="http://schemas.microsoft.com/office/drawing/2014/main" id="{648B9FE5-8C1E-474A-B0D9-A3CB0A17F0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266700</xdr:colOff>
      <xdr:row>16</xdr:row>
      <xdr:rowOff>15240</xdr:rowOff>
    </xdr:from>
    <xdr:to>
      <xdr:col>13</xdr:col>
      <xdr:colOff>449580</xdr:colOff>
      <xdr:row>38</xdr:row>
      <xdr:rowOff>22860</xdr:rowOff>
    </xdr:to>
    <xdr:graphicFrame macro="">
      <xdr:nvGraphicFramePr>
        <xdr:cNvPr id="2" name="Chart 1">
          <a:extLst>
            <a:ext uri="{FF2B5EF4-FFF2-40B4-BE49-F238E27FC236}">
              <a16:creationId xmlns:a16="http://schemas.microsoft.com/office/drawing/2014/main" id="{3804A2DE-205C-4C94-BBCC-479B6B6E1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158749</xdr:colOff>
      <xdr:row>37</xdr:row>
      <xdr:rowOff>76199</xdr:rowOff>
    </xdr:from>
    <xdr:to>
      <xdr:col>18</xdr:col>
      <xdr:colOff>511174</xdr:colOff>
      <xdr:row>47</xdr:row>
      <xdr:rowOff>9524</xdr:rowOff>
    </xdr:to>
    <xdr:graphicFrame macro="">
      <xdr:nvGraphicFramePr>
        <xdr:cNvPr id="2" name="Chart 1">
          <a:extLst>
            <a:ext uri="{FF2B5EF4-FFF2-40B4-BE49-F238E27FC236}">
              <a16:creationId xmlns:a16="http://schemas.microsoft.com/office/drawing/2014/main" id="{13F128F7-FCE1-440E-A99D-AB0B78A906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571500</xdr:colOff>
      <xdr:row>277</xdr:row>
      <xdr:rowOff>38100</xdr:rowOff>
    </xdr:from>
    <xdr:to>
      <xdr:col>15</xdr:col>
      <xdr:colOff>736600</xdr:colOff>
      <xdr:row>292</xdr:row>
      <xdr:rowOff>19050</xdr:rowOff>
    </xdr:to>
    <xdr:graphicFrame macro="">
      <xdr:nvGraphicFramePr>
        <xdr:cNvPr id="3" name="Chart 2">
          <a:extLst>
            <a:ext uri="{FF2B5EF4-FFF2-40B4-BE49-F238E27FC236}">
              <a16:creationId xmlns:a16="http://schemas.microsoft.com/office/drawing/2014/main" id="{A5A05221-2B41-48C4-BE23-9CF467973E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663574</xdr:colOff>
      <xdr:row>13</xdr:row>
      <xdr:rowOff>85725</xdr:rowOff>
    </xdr:from>
    <xdr:to>
      <xdr:col>17</xdr:col>
      <xdr:colOff>457199</xdr:colOff>
      <xdr:row>28</xdr:row>
      <xdr:rowOff>66675</xdr:rowOff>
    </xdr:to>
    <xdr:graphicFrame macro="">
      <xdr:nvGraphicFramePr>
        <xdr:cNvPr id="6" name="Chart 5">
          <a:extLst>
            <a:ext uri="{FF2B5EF4-FFF2-40B4-BE49-F238E27FC236}">
              <a16:creationId xmlns:a16="http://schemas.microsoft.com/office/drawing/2014/main" id="{03AE374E-1B31-420F-96E7-63779877A9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osenberg/Work/USU/Research/ColoradoRiver/Walton/BugsHydropower/GCDMonthlyHourlyAllocationModel_FinalDraft_Hybrid_201703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harp%20Student/Documents/WRSA/GAMS/GitHub/CEE-6410-Campana/SemesterProj_Run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harp%20Student/Documents/WRSA/GAMS/GitHub/CEE-6410-Campana/SemesterProj_Run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Patrick%20Campana/Documents/Water%20Resources%20Systems%20Analysis/Semester%20Project/Spreadsheets/PowellFlamingGorgeData-SOLUTIONK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RTCD Monthly Allocation Model"/>
      <sheetName val="RTCD 10.12s Hr Allocation Model"/>
      <sheetName val="CROD"/>
      <sheetName val="HydroPower"/>
      <sheetName val="MLFF Monthly Allocations"/>
      <sheetName val="SedTransCalc"/>
    </sheetNames>
    <sheetDataSet>
      <sheetData sheetId="0" refreshError="1"/>
      <sheetData sheetId="1">
        <row r="6">
          <cell r="A6">
            <v>8230000</v>
          </cell>
        </row>
      </sheetData>
      <sheetData sheetId="2">
        <row r="18">
          <cell r="B18">
            <v>762907.52972258907</v>
          </cell>
        </row>
        <row r="19">
          <cell r="B19">
            <v>0.09</v>
          </cell>
        </row>
        <row r="20">
          <cell r="B20">
            <v>6866.1677675033015</v>
          </cell>
        </row>
        <row r="21">
          <cell r="B21">
            <v>31</v>
          </cell>
        </row>
        <row r="22">
          <cell r="B22">
            <v>24609.920313631905</v>
          </cell>
        </row>
        <row r="23">
          <cell r="B23">
            <v>12407.50167004891</v>
          </cell>
        </row>
        <row r="24">
          <cell r="B24">
            <v>8974.4177862972592</v>
          </cell>
        </row>
        <row r="25">
          <cell r="B25">
            <v>15840.585553800562</v>
          </cell>
        </row>
        <row r="26">
          <cell r="B26">
            <v>4000</v>
          </cell>
        </row>
        <row r="28">
          <cell r="B28">
            <v>2500</v>
          </cell>
        </row>
      </sheetData>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of Contents"/>
      <sheetName val="Scalar"/>
      <sheetName val="BaseFlows"/>
      <sheetName val="Env"/>
      <sheetName val="EnvBinaryHigh"/>
      <sheetName val="EnvBinaryLow"/>
      <sheetName val="EnviroFlows"/>
      <sheetName val="FlowIn"/>
      <sheetName val="Hydro"/>
      <sheetName val="HydrologicScenarios"/>
      <sheetName val="BF"/>
      <sheetName val="HydroPower"/>
      <sheetName val="Loc"/>
      <sheetName val="MMaxFlowOut"/>
      <sheetName val="MMaxStore"/>
      <sheetName val="MMinStore"/>
      <sheetName val="Months"/>
      <sheetName val="ResMB"/>
      <sheetName val="X"/>
      <sheetName val="Yea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4">
          <cell r="B4" t="str">
            <v>M1</v>
          </cell>
          <cell r="C4">
            <v>2617726.5000999998</v>
          </cell>
        </row>
        <row r="5">
          <cell r="B5" t="str">
            <v>M2</v>
          </cell>
          <cell r="C5">
            <v>2617726.4986999999</v>
          </cell>
        </row>
        <row r="6">
          <cell r="B6" t="str">
            <v>M3</v>
          </cell>
          <cell r="C6">
            <v>2617726.4947299999</v>
          </cell>
        </row>
        <row r="7">
          <cell r="B7" t="str">
            <v>M4</v>
          </cell>
          <cell r="C7">
            <v>2617726.4944799999</v>
          </cell>
        </row>
        <row r="8">
          <cell r="B8" t="str">
            <v>M5</v>
          </cell>
          <cell r="C8">
            <v>2617726.4934899998</v>
          </cell>
        </row>
        <row r="9">
          <cell r="B9" t="str">
            <v>M6</v>
          </cell>
          <cell r="C9">
            <v>2268734.7634899998</v>
          </cell>
        </row>
        <row r="10">
          <cell r="B10" t="str">
            <v>M7</v>
          </cell>
          <cell r="C10">
            <v>2260063.0281999996</v>
          </cell>
        </row>
        <row r="11">
          <cell r="B11" t="str">
            <v>M8</v>
          </cell>
          <cell r="C11">
            <v>2260063.0232999995</v>
          </cell>
        </row>
        <row r="12">
          <cell r="B12" t="str">
            <v>M9</v>
          </cell>
          <cell r="C12">
            <v>2260063.0242899996</v>
          </cell>
        </row>
        <row r="13">
          <cell r="B13" t="str">
            <v>M10</v>
          </cell>
          <cell r="C13">
            <v>2260063.0198299997</v>
          </cell>
        </row>
        <row r="14">
          <cell r="B14" t="str">
            <v>M11</v>
          </cell>
          <cell r="C14">
            <v>2260063.0247899997</v>
          </cell>
        </row>
        <row r="15">
          <cell r="B15" t="str">
            <v>M12</v>
          </cell>
          <cell r="C15">
            <v>2260063.0244899997</v>
          </cell>
        </row>
        <row r="16">
          <cell r="B16" t="str">
            <v>M13</v>
          </cell>
          <cell r="C16">
            <v>2260063.0245899996</v>
          </cell>
        </row>
        <row r="17">
          <cell r="B17" t="str">
            <v>M14</v>
          </cell>
          <cell r="C17">
            <v>2260063.0231899996</v>
          </cell>
        </row>
        <row r="18">
          <cell r="B18" t="str">
            <v>M15</v>
          </cell>
          <cell r="C18">
            <v>2260063.0192199997</v>
          </cell>
        </row>
        <row r="19">
          <cell r="B19" t="str">
            <v>M16</v>
          </cell>
          <cell r="C19">
            <v>2260063.0189699996</v>
          </cell>
        </row>
        <row r="20">
          <cell r="B20" t="str">
            <v>M17</v>
          </cell>
          <cell r="C20">
            <v>2260063.0179799995</v>
          </cell>
        </row>
        <row r="21">
          <cell r="B21" t="str">
            <v>M18</v>
          </cell>
          <cell r="C21">
            <v>1911071.2879799996</v>
          </cell>
        </row>
        <row r="22">
          <cell r="B22" t="str">
            <v>M19</v>
          </cell>
          <cell r="C22">
            <v>1902399.5526899996</v>
          </cell>
        </row>
        <row r="23">
          <cell r="B23" t="str">
            <v>M20</v>
          </cell>
          <cell r="C23">
            <v>1902399.5477899995</v>
          </cell>
        </row>
        <row r="24">
          <cell r="B24" t="str">
            <v>M21</v>
          </cell>
          <cell r="C24">
            <v>1902399.5487799996</v>
          </cell>
        </row>
        <row r="25">
          <cell r="B25" t="str">
            <v>M22</v>
          </cell>
          <cell r="C25">
            <v>1902399.5443199996</v>
          </cell>
        </row>
        <row r="26">
          <cell r="B26" t="str">
            <v>M23</v>
          </cell>
          <cell r="C26">
            <v>1902399.5492799997</v>
          </cell>
        </row>
        <row r="27">
          <cell r="B27" t="str">
            <v>M24</v>
          </cell>
          <cell r="C27">
            <v>1902399.5489799997</v>
          </cell>
        </row>
        <row r="28">
          <cell r="B28" t="str">
            <v>M25</v>
          </cell>
          <cell r="C28">
            <v>1902399.5490799998</v>
          </cell>
        </row>
        <row r="29">
          <cell r="B29" t="str">
            <v>M26</v>
          </cell>
          <cell r="C29">
            <v>1902399.5476799998</v>
          </cell>
        </row>
        <row r="30">
          <cell r="B30" t="str">
            <v>M27</v>
          </cell>
          <cell r="C30">
            <v>1902399.5437099999</v>
          </cell>
        </row>
        <row r="31">
          <cell r="B31" t="str">
            <v>M28</v>
          </cell>
          <cell r="C31">
            <v>1902399.5434599998</v>
          </cell>
        </row>
        <row r="32">
          <cell r="B32" t="str">
            <v>M29</v>
          </cell>
          <cell r="C32">
            <v>1902399.5424699998</v>
          </cell>
        </row>
        <row r="33">
          <cell r="B33" t="str">
            <v>M30</v>
          </cell>
          <cell r="C33">
            <v>1553407.8124699998</v>
          </cell>
        </row>
        <row r="34">
          <cell r="B34" t="str">
            <v>M31</v>
          </cell>
          <cell r="C34">
            <v>1544736.0771799998</v>
          </cell>
        </row>
        <row r="35">
          <cell r="B35" t="str">
            <v>M32</v>
          </cell>
          <cell r="C35">
            <v>1544736.0722799997</v>
          </cell>
        </row>
        <row r="36">
          <cell r="B36" t="str">
            <v>M33</v>
          </cell>
          <cell r="C36">
            <v>1544736.0732699998</v>
          </cell>
        </row>
        <row r="37">
          <cell r="B37" t="str">
            <v>M34</v>
          </cell>
          <cell r="C37">
            <v>1544736.0688099999</v>
          </cell>
        </row>
        <row r="38">
          <cell r="B38" t="str">
            <v>M35</v>
          </cell>
          <cell r="C38">
            <v>1544736.0737699999</v>
          </cell>
        </row>
        <row r="39">
          <cell r="B39" t="str">
            <v>M36</v>
          </cell>
          <cell r="C39">
            <v>1544736.0734699999</v>
          </cell>
        </row>
        <row r="40">
          <cell r="B40" t="str">
            <v>M37</v>
          </cell>
          <cell r="C40">
            <v>1544736.07357</v>
          </cell>
        </row>
        <row r="41">
          <cell r="B41" t="str">
            <v>M38</v>
          </cell>
          <cell r="C41">
            <v>1544736.0721700001</v>
          </cell>
        </row>
        <row r="42">
          <cell r="B42" t="str">
            <v>M39</v>
          </cell>
          <cell r="C42">
            <v>1544736.0682000001</v>
          </cell>
        </row>
        <row r="43">
          <cell r="B43" t="str">
            <v>M40</v>
          </cell>
          <cell r="C43">
            <v>1544736.0679500001</v>
          </cell>
        </row>
        <row r="44">
          <cell r="B44" t="str">
            <v>M41</v>
          </cell>
          <cell r="C44">
            <v>1544736.06696</v>
          </cell>
        </row>
        <row r="45">
          <cell r="B45" t="str">
            <v>M42</v>
          </cell>
          <cell r="C45">
            <v>1195744.33696</v>
          </cell>
        </row>
        <row r="46">
          <cell r="B46" t="str">
            <v>M43</v>
          </cell>
          <cell r="C46">
            <v>1187072.60167</v>
          </cell>
        </row>
        <row r="47">
          <cell r="B47" t="str">
            <v>M44</v>
          </cell>
          <cell r="C47">
            <v>1187072.5967699999</v>
          </cell>
        </row>
        <row r="48">
          <cell r="B48" t="str">
            <v>M45</v>
          </cell>
          <cell r="C48">
            <v>1187072.59776</v>
          </cell>
        </row>
        <row r="49">
          <cell r="B49" t="str">
            <v>M46</v>
          </cell>
          <cell r="C49">
            <v>1187072.5933000001</v>
          </cell>
        </row>
        <row r="50">
          <cell r="B50" t="str">
            <v>M47</v>
          </cell>
          <cell r="C50">
            <v>1187072.5982600001</v>
          </cell>
        </row>
        <row r="51">
          <cell r="B51" t="str">
            <v>M48</v>
          </cell>
          <cell r="C51">
            <v>1187072.5979600002</v>
          </cell>
        </row>
        <row r="52">
          <cell r="B52" t="str">
            <v>M49</v>
          </cell>
          <cell r="C52">
            <v>1187072.5980600002</v>
          </cell>
        </row>
        <row r="53">
          <cell r="B53" t="str">
            <v>M50</v>
          </cell>
          <cell r="C53">
            <v>1187072.5966600003</v>
          </cell>
        </row>
        <row r="54">
          <cell r="B54" t="str">
            <v>M51</v>
          </cell>
          <cell r="C54">
            <v>1187072.5926900003</v>
          </cell>
        </row>
        <row r="55">
          <cell r="B55" t="str">
            <v>M52</v>
          </cell>
          <cell r="C55">
            <v>1187072.5924400003</v>
          </cell>
        </row>
        <row r="56">
          <cell r="B56" t="str">
            <v>M53</v>
          </cell>
          <cell r="C56">
            <v>1187072.5914500002</v>
          </cell>
        </row>
        <row r="57">
          <cell r="B57" t="str">
            <v>M54</v>
          </cell>
          <cell r="C57">
            <v>838080.8614500002</v>
          </cell>
        </row>
        <row r="58">
          <cell r="B58" t="str">
            <v>M55</v>
          </cell>
          <cell r="C58">
            <v>829409.12616000022</v>
          </cell>
        </row>
        <row r="59">
          <cell r="B59" t="str">
            <v>M56</v>
          </cell>
          <cell r="C59">
            <v>829409.12126000016</v>
          </cell>
        </row>
        <row r="60">
          <cell r="B60" t="str">
            <v>M57</v>
          </cell>
          <cell r="C60">
            <v>829409.12225000013</v>
          </cell>
        </row>
        <row r="61">
          <cell r="B61" t="str">
            <v>M58</v>
          </cell>
          <cell r="C61">
            <v>829409.11779000016</v>
          </cell>
        </row>
        <row r="62">
          <cell r="B62" t="str">
            <v>M59</v>
          </cell>
          <cell r="C62">
            <v>829409.12275000021</v>
          </cell>
        </row>
        <row r="63">
          <cell r="B63" t="str">
            <v>M60</v>
          </cell>
          <cell r="C63">
            <v>829409.12245000026</v>
          </cell>
        </row>
        <row r="64">
          <cell r="B64" t="str">
            <v>M1</v>
          </cell>
          <cell r="C64">
            <v>110062.80989999999</v>
          </cell>
        </row>
        <row r="65">
          <cell r="B65" t="str">
            <v>M2</v>
          </cell>
          <cell r="C65">
            <v>108932.2314</v>
          </cell>
        </row>
        <row r="66">
          <cell r="B66" t="str">
            <v>M3</v>
          </cell>
          <cell r="C66">
            <v>50745.123970000001</v>
          </cell>
        </row>
        <row r="67">
          <cell r="B67" t="str">
            <v>M4</v>
          </cell>
          <cell r="C67">
            <v>49731.570249999997</v>
          </cell>
        </row>
        <row r="68">
          <cell r="B68" t="str">
            <v>M5</v>
          </cell>
          <cell r="C68">
            <v>51806.280989999999</v>
          </cell>
        </row>
        <row r="69">
          <cell r="B69" t="str">
            <v>M6</v>
          </cell>
          <cell r="C69">
            <v>473652.89</v>
          </cell>
        </row>
        <row r="70">
          <cell r="B70" t="str">
            <v>M7</v>
          </cell>
          <cell r="C70">
            <v>98380.165290000004</v>
          </cell>
        </row>
        <row r="71">
          <cell r="B71" t="str">
            <v>M8</v>
          </cell>
          <cell r="C71">
            <v>108694.21490000001</v>
          </cell>
        </row>
        <row r="72">
          <cell r="B72" t="str">
            <v>M9</v>
          </cell>
          <cell r="C72">
            <v>98433.719010000001</v>
          </cell>
        </row>
        <row r="73">
          <cell r="B73" t="str">
            <v>M10</v>
          </cell>
          <cell r="C73">
            <v>63808.264459999999</v>
          </cell>
        </row>
        <row r="74">
          <cell r="B74" t="str">
            <v>M11</v>
          </cell>
          <cell r="C74">
            <v>77208.59504</v>
          </cell>
        </row>
        <row r="75">
          <cell r="B75" t="str">
            <v>M12</v>
          </cell>
          <cell r="C75">
            <v>105988.76029999999</v>
          </cell>
        </row>
        <row r="76">
          <cell r="B76" t="str">
            <v>M13</v>
          </cell>
          <cell r="C76">
            <v>110062.80989999999</v>
          </cell>
        </row>
        <row r="77">
          <cell r="B77" t="str">
            <v>M14</v>
          </cell>
          <cell r="C77">
            <v>108932.2314</v>
          </cell>
        </row>
        <row r="78">
          <cell r="B78" t="str">
            <v>M15</v>
          </cell>
          <cell r="C78">
            <v>50745.123970000001</v>
          </cell>
        </row>
        <row r="79">
          <cell r="B79" t="str">
            <v>M16</v>
          </cell>
          <cell r="C79">
            <v>49731.570249999997</v>
          </cell>
        </row>
        <row r="80">
          <cell r="B80" t="str">
            <v>M17</v>
          </cell>
          <cell r="C80">
            <v>51806.280989999999</v>
          </cell>
        </row>
        <row r="81">
          <cell r="B81" t="str">
            <v>M18</v>
          </cell>
          <cell r="C81">
            <v>473652.89</v>
          </cell>
        </row>
        <row r="82">
          <cell r="B82" t="str">
            <v>M19</v>
          </cell>
          <cell r="C82">
            <v>98380.165290000004</v>
          </cell>
        </row>
        <row r="83">
          <cell r="B83" t="str">
            <v>M20</v>
          </cell>
          <cell r="C83">
            <v>108694.21490000001</v>
          </cell>
        </row>
        <row r="84">
          <cell r="B84" t="str">
            <v>M21</v>
          </cell>
          <cell r="C84">
            <v>98433.719010000001</v>
          </cell>
        </row>
        <row r="85">
          <cell r="B85" t="str">
            <v>M22</v>
          </cell>
          <cell r="C85">
            <v>63808.264459999999</v>
          </cell>
        </row>
        <row r="86">
          <cell r="B86" t="str">
            <v>M23</v>
          </cell>
          <cell r="C86">
            <v>77208.59504</v>
          </cell>
        </row>
        <row r="87">
          <cell r="B87" t="str">
            <v>M24</v>
          </cell>
          <cell r="C87">
            <v>105988.76029999999</v>
          </cell>
        </row>
        <row r="88">
          <cell r="B88" t="str">
            <v>M25</v>
          </cell>
          <cell r="C88">
            <v>110062.80989999999</v>
          </cell>
        </row>
        <row r="89">
          <cell r="B89" t="str">
            <v>M26</v>
          </cell>
          <cell r="C89">
            <v>108932.2314</v>
          </cell>
        </row>
        <row r="90">
          <cell r="B90" t="str">
            <v>M27</v>
          </cell>
          <cell r="C90">
            <v>50745.123970000001</v>
          </cell>
        </row>
        <row r="91">
          <cell r="B91" t="str">
            <v>M28</v>
          </cell>
          <cell r="C91">
            <v>49731.570249999997</v>
          </cell>
        </row>
        <row r="92">
          <cell r="B92" t="str">
            <v>M29</v>
          </cell>
          <cell r="C92">
            <v>51806.280989999999</v>
          </cell>
        </row>
        <row r="93">
          <cell r="B93" t="str">
            <v>M30</v>
          </cell>
          <cell r="C93">
            <v>473652.89</v>
          </cell>
        </row>
        <row r="94">
          <cell r="B94" t="str">
            <v>M31</v>
          </cell>
          <cell r="C94">
            <v>98380.165290000004</v>
          </cell>
        </row>
        <row r="95">
          <cell r="B95" t="str">
            <v>M32</v>
          </cell>
          <cell r="C95">
            <v>108694.21490000001</v>
          </cell>
        </row>
        <row r="96">
          <cell r="B96" t="str">
            <v>M33</v>
          </cell>
          <cell r="C96">
            <v>98433.719010000001</v>
          </cell>
        </row>
        <row r="97">
          <cell r="B97" t="str">
            <v>M34</v>
          </cell>
          <cell r="C97">
            <v>63808.264459999999</v>
          </cell>
        </row>
        <row r="98">
          <cell r="B98" t="str">
            <v>M35</v>
          </cell>
          <cell r="C98">
            <v>77208.59504</v>
          </cell>
        </row>
        <row r="99">
          <cell r="B99" t="str">
            <v>M36</v>
          </cell>
          <cell r="C99">
            <v>105988.76029999999</v>
          </cell>
        </row>
        <row r="100">
          <cell r="B100" t="str">
            <v>M37</v>
          </cell>
          <cell r="C100">
            <v>110062.80989999999</v>
          </cell>
        </row>
        <row r="101">
          <cell r="B101" t="str">
            <v>M38</v>
          </cell>
          <cell r="C101">
            <v>108932.2314</v>
          </cell>
        </row>
        <row r="102">
          <cell r="B102" t="str">
            <v>M39</v>
          </cell>
          <cell r="C102">
            <v>50745.123970000001</v>
          </cell>
        </row>
        <row r="103">
          <cell r="B103" t="str">
            <v>M40</v>
          </cell>
          <cell r="C103">
            <v>49731.570249999997</v>
          </cell>
        </row>
        <row r="104">
          <cell r="B104" t="str">
            <v>M41</v>
          </cell>
          <cell r="C104">
            <v>51806.280989999999</v>
          </cell>
        </row>
        <row r="105">
          <cell r="B105" t="str">
            <v>M42</v>
          </cell>
          <cell r="C105">
            <v>473652.89</v>
          </cell>
        </row>
        <row r="106">
          <cell r="B106" t="str">
            <v>M43</v>
          </cell>
          <cell r="C106">
            <v>98380.165290000004</v>
          </cell>
        </row>
        <row r="107">
          <cell r="B107" t="str">
            <v>M44</v>
          </cell>
          <cell r="C107">
            <v>108694.21490000001</v>
          </cell>
        </row>
        <row r="108">
          <cell r="B108" t="str">
            <v>M45</v>
          </cell>
          <cell r="C108">
            <v>98433.719010000001</v>
          </cell>
        </row>
        <row r="109">
          <cell r="B109" t="str">
            <v>M46</v>
          </cell>
          <cell r="C109">
            <v>63808.264459999999</v>
          </cell>
        </row>
        <row r="110">
          <cell r="B110" t="str">
            <v>M47</v>
          </cell>
          <cell r="C110">
            <v>77208.59504</v>
          </cell>
        </row>
        <row r="111">
          <cell r="B111" t="str">
            <v>M48</v>
          </cell>
          <cell r="C111">
            <v>105988.76029999999</v>
          </cell>
        </row>
        <row r="112">
          <cell r="B112" t="str">
            <v>M49</v>
          </cell>
          <cell r="C112">
            <v>110062.80989999999</v>
          </cell>
        </row>
        <row r="113">
          <cell r="B113" t="str">
            <v>M50</v>
          </cell>
          <cell r="C113">
            <v>108932.2314</v>
          </cell>
        </row>
        <row r="114">
          <cell r="B114" t="str">
            <v>M51</v>
          </cell>
          <cell r="C114">
            <v>50745.123970000001</v>
          </cell>
        </row>
        <row r="115">
          <cell r="B115" t="str">
            <v>M52</v>
          </cell>
          <cell r="C115">
            <v>49731.570249999997</v>
          </cell>
        </row>
        <row r="116">
          <cell r="B116" t="str">
            <v>M53</v>
          </cell>
          <cell r="C116">
            <v>51806.280989999999</v>
          </cell>
        </row>
        <row r="117">
          <cell r="B117" t="str">
            <v>M54</v>
          </cell>
          <cell r="C117">
            <v>473652.89</v>
          </cell>
        </row>
        <row r="118">
          <cell r="B118" t="str">
            <v>M55</v>
          </cell>
          <cell r="C118">
            <v>98380.165290000004</v>
          </cell>
        </row>
        <row r="119">
          <cell r="B119" t="str">
            <v>M56</v>
          </cell>
          <cell r="C119">
            <v>108694.21490000001</v>
          </cell>
        </row>
        <row r="120">
          <cell r="B120" t="str">
            <v>M57</v>
          </cell>
          <cell r="C120">
            <v>98433.719010000001</v>
          </cell>
        </row>
        <row r="121">
          <cell r="B121" t="str">
            <v>M58</v>
          </cell>
          <cell r="C121">
            <v>63808.264459999999</v>
          </cell>
        </row>
        <row r="122">
          <cell r="B122" t="str">
            <v>M59</v>
          </cell>
          <cell r="C122">
            <v>77208.59504</v>
          </cell>
        </row>
        <row r="123">
          <cell r="B123" t="str">
            <v>M60</v>
          </cell>
          <cell r="C123">
            <v>105988.76029999999</v>
          </cell>
        </row>
      </sheetData>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of Contents"/>
      <sheetName val="Scalar"/>
      <sheetName val="BaseFlows"/>
      <sheetName val="BF"/>
      <sheetName val="Env"/>
      <sheetName val="EnvBinaryHigh"/>
      <sheetName val="EnvBinaryLow"/>
      <sheetName val="EnviroFlows"/>
      <sheetName val="FlowIn"/>
      <sheetName val="Hydro"/>
      <sheetName val="HydrologicScenarios"/>
      <sheetName val="HydroPower"/>
      <sheetName val="Loc"/>
      <sheetName val="MMaxFlowOut"/>
      <sheetName val="MMaxStore"/>
      <sheetName val="MMinStore"/>
      <sheetName val="Months"/>
      <sheetName val="ResMB"/>
      <sheetName val="X"/>
      <sheetName val="Yea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4">
          <cell r="B4" t="str">
            <v>M1</v>
          </cell>
          <cell r="C4">
            <v>2617726.5000999998</v>
          </cell>
        </row>
        <row r="5">
          <cell r="B5" t="str">
            <v>M2</v>
          </cell>
          <cell r="C5">
            <v>2617726.4986999999</v>
          </cell>
        </row>
        <row r="6">
          <cell r="B6" t="str">
            <v>M3</v>
          </cell>
          <cell r="C6">
            <v>2617726.4947299999</v>
          </cell>
        </row>
        <row r="7">
          <cell r="B7" t="str">
            <v>M4</v>
          </cell>
          <cell r="C7">
            <v>2617726.4944799999</v>
          </cell>
        </row>
        <row r="8">
          <cell r="B8" t="str">
            <v>M5</v>
          </cell>
          <cell r="C8">
            <v>2617726.4934899998</v>
          </cell>
        </row>
        <row r="9">
          <cell r="B9" t="str">
            <v>M6</v>
          </cell>
          <cell r="C9">
            <v>2268734.7634899998</v>
          </cell>
        </row>
        <row r="10">
          <cell r="B10" t="str">
            <v>M7</v>
          </cell>
          <cell r="C10">
            <v>2260063.0281999996</v>
          </cell>
        </row>
        <row r="11">
          <cell r="B11" t="str">
            <v>M8</v>
          </cell>
          <cell r="C11">
            <v>2260063.0232999995</v>
          </cell>
        </row>
        <row r="12">
          <cell r="B12" t="str">
            <v>M9</v>
          </cell>
          <cell r="C12">
            <v>2260063.0242899996</v>
          </cell>
        </row>
        <row r="13">
          <cell r="B13" t="str">
            <v>M10</v>
          </cell>
          <cell r="C13">
            <v>1976411.4020400003</v>
          </cell>
        </row>
        <row r="14">
          <cell r="B14" t="str">
            <v>M11</v>
          </cell>
          <cell r="C14">
            <v>1976411.4070000004</v>
          </cell>
        </row>
        <row r="15">
          <cell r="B15" t="str">
            <v>M12</v>
          </cell>
          <cell r="C15">
            <v>1976411.4067000004</v>
          </cell>
        </row>
        <row r="16">
          <cell r="B16" t="str">
            <v>M13</v>
          </cell>
          <cell r="C16">
            <v>1976411.4068000005</v>
          </cell>
        </row>
        <row r="17">
          <cell r="B17" t="str">
            <v>M14</v>
          </cell>
          <cell r="C17">
            <v>1976411.4054000005</v>
          </cell>
        </row>
        <row r="18">
          <cell r="B18" t="str">
            <v>M15</v>
          </cell>
          <cell r="C18">
            <v>1976411.4014300006</v>
          </cell>
        </row>
        <row r="19">
          <cell r="B19" t="str">
            <v>M16</v>
          </cell>
          <cell r="C19">
            <v>1976411.4011800005</v>
          </cell>
        </row>
        <row r="20">
          <cell r="B20" t="str">
            <v>M17</v>
          </cell>
          <cell r="C20">
            <v>1976411.4001900004</v>
          </cell>
        </row>
        <row r="21">
          <cell r="B21" t="str">
            <v>M18</v>
          </cell>
          <cell r="C21">
            <v>1627419.6701900002</v>
          </cell>
        </row>
        <row r="22">
          <cell r="B22" t="str">
            <v>M19</v>
          </cell>
          <cell r="C22">
            <v>1618747.9349000002</v>
          </cell>
        </row>
        <row r="23">
          <cell r="B23" t="str">
            <v>M20</v>
          </cell>
          <cell r="C23">
            <v>1618747.9300000002</v>
          </cell>
        </row>
        <row r="24">
          <cell r="B24" t="str">
            <v>M21</v>
          </cell>
          <cell r="C24">
            <v>1618747.93099</v>
          </cell>
        </row>
        <row r="25">
          <cell r="B25" t="str">
            <v>M22</v>
          </cell>
          <cell r="C25">
            <v>1618747.9265300001</v>
          </cell>
        </row>
        <row r="26">
          <cell r="B26" t="str">
            <v>M23</v>
          </cell>
          <cell r="C26">
            <v>1618747.9314900001</v>
          </cell>
        </row>
        <row r="27">
          <cell r="B27" t="str">
            <v>M24</v>
          </cell>
          <cell r="C27">
            <v>1618747.9311900001</v>
          </cell>
        </row>
        <row r="28">
          <cell r="B28" t="str">
            <v>M25</v>
          </cell>
          <cell r="C28">
            <v>1618747.9312900002</v>
          </cell>
        </row>
        <row r="29">
          <cell r="B29" t="str">
            <v>M26</v>
          </cell>
          <cell r="C29">
            <v>1618747.9298900003</v>
          </cell>
        </row>
        <row r="30">
          <cell r="B30" t="str">
            <v>M27</v>
          </cell>
          <cell r="C30">
            <v>1618747.9259200003</v>
          </cell>
        </row>
        <row r="31">
          <cell r="B31" t="str">
            <v>M28</v>
          </cell>
          <cell r="C31">
            <v>1618747.9256700003</v>
          </cell>
        </row>
        <row r="32">
          <cell r="B32" t="str">
            <v>M29</v>
          </cell>
          <cell r="C32">
            <v>1618747.9246800002</v>
          </cell>
        </row>
        <row r="33">
          <cell r="B33" t="str">
            <v>M30</v>
          </cell>
          <cell r="C33">
            <v>1269756.19468</v>
          </cell>
        </row>
        <row r="34">
          <cell r="B34" t="str">
            <v>M31</v>
          </cell>
          <cell r="C34">
            <v>1261084.45939</v>
          </cell>
        </row>
        <row r="35">
          <cell r="B35" t="str">
            <v>M32</v>
          </cell>
          <cell r="C35">
            <v>1261084.4544899999</v>
          </cell>
        </row>
        <row r="36">
          <cell r="B36" t="str">
            <v>M33</v>
          </cell>
          <cell r="C36">
            <v>1261084.4554799998</v>
          </cell>
        </row>
        <row r="37">
          <cell r="B37" t="str">
            <v>M34</v>
          </cell>
          <cell r="C37">
            <v>1261084.4510199998</v>
          </cell>
        </row>
        <row r="38">
          <cell r="B38" t="str">
            <v>M35</v>
          </cell>
          <cell r="C38">
            <v>1261084.4559799999</v>
          </cell>
        </row>
        <row r="39">
          <cell r="B39" t="str">
            <v>M36</v>
          </cell>
          <cell r="C39">
            <v>1261084.4556799999</v>
          </cell>
        </row>
        <row r="40">
          <cell r="B40" t="str">
            <v>M37</v>
          </cell>
          <cell r="C40">
            <v>1261084.45578</v>
          </cell>
        </row>
        <row r="41">
          <cell r="B41" t="str">
            <v>M38</v>
          </cell>
          <cell r="C41">
            <v>1261084.45438</v>
          </cell>
        </row>
        <row r="42">
          <cell r="B42" t="str">
            <v>M39</v>
          </cell>
          <cell r="C42">
            <v>1261084.45041</v>
          </cell>
        </row>
        <row r="43">
          <cell r="B43" t="str">
            <v>M40</v>
          </cell>
          <cell r="C43">
            <v>1261084.45016</v>
          </cell>
        </row>
        <row r="44">
          <cell r="B44" t="str">
            <v>M41</v>
          </cell>
          <cell r="C44">
            <v>1261084.4491699999</v>
          </cell>
        </row>
        <row r="45">
          <cell r="B45" t="str">
            <v>M42</v>
          </cell>
          <cell r="C45">
            <v>912092.71917000005</v>
          </cell>
        </row>
        <row r="46">
          <cell r="B46" t="str">
            <v>M43</v>
          </cell>
          <cell r="C46">
            <v>903420.98387999996</v>
          </cell>
        </row>
        <row r="47">
          <cell r="B47" t="str">
            <v>M44</v>
          </cell>
          <cell r="C47">
            <v>903420.9789799999</v>
          </cell>
        </row>
        <row r="48">
          <cell r="B48" t="str">
            <v>M45</v>
          </cell>
          <cell r="C48">
            <v>903420.97996999987</v>
          </cell>
        </row>
        <row r="49">
          <cell r="B49" t="str">
            <v>M46</v>
          </cell>
          <cell r="C49">
            <v>903420.9755099999</v>
          </cell>
        </row>
        <row r="50">
          <cell r="B50" t="str">
            <v>M47</v>
          </cell>
          <cell r="C50">
            <v>903420.98046999983</v>
          </cell>
        </row>
        <row r="51">
          <cell r="B51" t="str">
            <v>M48</v>
          </cell>
          <cell r="C51">
            <v>903420.98016999988</v>
          </cell>
        </row>
        <row r="52">
          <cell r="B52" t="str">
            <v>M49</v>
          </cell>
          <cell r="C52">
            <v>903420.98026999994</v>
          </cell>
        </row>
        <row r="53">
          <cell r="B53" t="str">
            <v>M50</v>
          </cell>
          <cell r="C53">
            <v>903420.97886999988</v>
          </cell>
        </row>
        <row r="54">
          <cell r="B54" t="str">
            <v>M51</v>
          </cell>
          <cell r="C54">
            <v>903420.97489999991</v>
          </cell>
        </row>
        <row r="55">
          <cell r="B55" t="str">
            <v>M52</v>
          </cell>
          <cell r="C55">
            <v>903420.97464999987</v>
          </cell>
        </row>
        <row r="56">
          <cell r="B56" t="str">
            <v>M53</v>
          </cell>
          <cell r="C56">
            <v>903420.9736599999</v>
          </cell>
        </row>
        <row r="57">
          <cell r="B57" t="str">
            <v>M54</v>
          </cell>
          <cell r="C57">
            <v>554429.24365999992</v>
          </cell>
        </row>
        <row r="58">
          <cell r="B58" t="str">
            <v>M55</v>
          </cell>
          <cell r="C58">
            <v>545757.50836999994</v>
          </cell>
        </row>
        <row r="59">
          <cell r="B59" t="str">
            <v>M56</v>
          </cell>
          <cell r="C59">
            <v>545757.50347</v>
          </cell>
        </row>
        <row r="60">
          <cell r="B60" t="str">
            <v>M57</v>
          </cell>
          <cell r="C60">
            <v>545757.50445999997</v>
          </cell>
        </row>
        <row r="61">
          <cell r="B61" t="str">
            <v>M58</v>
          </cell>
          <cell r="C61">
            <v>545757.5</v>
          </cell>
        </row>
        <row r="62">
          <cell r="B62" t="str">
            <v>M59</v>
          </cell>
          <cell r="C62">
            <v>545757.50495999993</v>
          </cell>
        </row>
        <row r="63">
          <cell r="B63" t="str">
            <v>M60</v>
          </cell>
          <cell r="C63">
            <v>545757.50465999998</v>
          </cell>
        </row>
        <row r="64">
          <cell r="B64" t="str">
            <v>M1</v>
          </cell>
          <cell r="C64">
            <v>110062.80989999999</v>
          </cell>
        </row>
        <row r="65">
          <cell r="B65" t="str">
            <v>M2</v>
          </cell>
          <cell r="C65">
            <v>108932.2314</v>
          </cell>
        </row>
        <row r="66">
          <cell r="B66" t="str">
            <v>M3</v>
          </cell>
          <cell r="C66">
            <v>50745.123970000001</v>
          </cell>
        </row>
        <row r="67">
          <cell r="B67" t="str">
            <v>M4</v>
          </cell>
          <cell r="C67">
            <v>49731.570249999997</v>
          </cell>
        </row>
        <row r="68">
          <cell r="B68" t="str">
            <v>M5</v>
          </cell>
          <cell r="C68">
            <v>51806.280989999999</v>
          </cell>
        </row>
        <row r="69">
          <cell r="B69" t="str">
            <v>M6</v>
          </cell>
          <cell r="C69">
            <v>473652.89</v>
          </cell>
        </row>
        <row r="70">
          <cell r="B70" t="str">
            <v>M7</v>
          </cell>
          <cell r="C70">
            <v>98380.165290000004</v>
          </cell>
        </row>
        <row r="71">
          <cell r="B71" t="str">
            <v>M8</v>
          </cell>
          <cell r="C71">
            <v>108694.21490000001</v>
          </cell>
        </row>
        <row r="72">
          <cell r="B72" t="str">
            <v>M9</v>
          </cell>
          <cell r="C72">
            <v>98433.719010000001</v>
          </cell>
        </row>
        <row r="73">
          <cell r="B73" t="str">
            <v>M10</v>
          </cell>
          <cell r="C73">
            <v>347459.88224999933</v>
          </cell>
        </row>
        <row r="74">
          <cell r="B74" t="str">
            <v>M11</v>
          </cell>
          <cell r="C74">
            <v>77208.59504</v>
          </cell>
        </row>
        <row r="75">
          <cell r="B75" t="str">
            <v>M12</v>
          </cell>
          <cell r="C75">
            <v>105988.76029999999</v>
          </cell>
        </row>
        <row r="76">
          <cell r="B76" t="str">
            <v>M13</v>
          </cell>
          <cell r="C76">
            <v>110062.80989999999</v>
          </cell>
        </row>
        <row r="77">
          <cell r="B77" t="str">
            <v>M14</v>
          </cell>
          <cell r="C77">
            <v>108932.2314</v>
          </cell>
        </row>
        <row r="78">
          <cell r="B78" t="str">
            <v>M15</v>
          </cell>
          <cell r="C78">
            <v>50745.123970000001</v>
          </cell>
        </row>
        <row r="79">
          <cell r="B79" t="str">
            <v>M16</v>
          </cell>
          <cell r="C79">
            <v>49731.570249999997</v>
          </cell>
        </row>
        <row r="80">
          <cell r="B80" t="str">
            <v>M17</v>
          </cell>
          <cell r="C80">
            <v>51806.280989999999</v>
          </cell>
        </row>
        <row r="81">
          <cell r="B81" t="str">
            <v>M18</v>
          </cell>
          <cell r="C81">
            <v>473652.89</v>
          </cell>
        </row>
        <row r="82">
          <cell r="B82" t="str">
            <v>M19</v>
          </cell>
          <cell r="C82">
            <v>98380.165290000004</v>
          </cell>
        </row>
        <row r="83">
          <cell r="B83" t="str">
            <v>M20</v>
          </cell>
          <cell r="C83">
            <v>108694.21490000001</v>
          </cell>
        </row>
        <row r="84">
          <cell r="B84" t="str">
            <v>M21</v>
          </cell>
          <cell r="C84">
            <v>98433.719010000001</v>
          </cell>
        </row>
        <row r="85">
          <cell r="B85" t="str">
            <v>M22</v>
          </cell>
          <cell r="C85">
            <v>63808.264459999999</v>
          </cell>
        </row>
        <row r="86">
          <cell r="B86" t="str">
            <v>M23</v>
          </cell>
          <cell r="C86">
            <v>77208.59504</v>
          </cell>
        </row>
        <row r="87">
          <cell r="B87" t="str">
            <v>M24</v>
          </cell>
          <cell r="C87">
            <v>105988.76029999999</v>
          </cell>
        </row>
        <row r="88">
          <cell r="B88" t="str">
            <v>M25</v>
          </cell>
          <cell r="C88">
            <v>110062.80989999999</v>
          </cell>
        </row>
        <row r="89">
          <cell r="B89" t="str">
            <v>M26</v>
          </cell>
          <cell r="C89">
            <v>108932.2314</v>
          </cell>
        </row>
        <row r="90">
          <cell r="B90" t="str">
            <v>M27</v>
          </cell>
          <cell r="C90">
            <v>50745.123970000001</v>
          </cell>
        </row>
        <row r="91">
          <cell r="B91" t="str">
            <v>M28</v>
          </cell>
          <cell r="C91">
            <v>49731.570249999997</v>
          </cell>
        </row>
        <row r="92">
          <cell r="B92" t="str">
            <v>M29</v>
          </cell>
          <cell r="C92">
            <v>51806.280989999999</v>
          </cell>
        </row>
        <row r="93">
          <cell r="B93" t="str">
            <v>M30</v>
          </cell>
          <cell r="C93">
            <v>473652.89</v>
          </cell>
        </row>
        <row r="94">
          <cell r="B94" t="str">
            <v>M31</v>
          </cell>
          <cell r="C94">
            <v>98380.165290000004</v>
          </cell>
        </row>
        <row r="95">
          <cell r="B95" t="str">
            <v>M32</v>
          </cell>
          <cell r="C95">
            <v>108694.21490000001</v>
          </cell>
        </row>
        <row r="96">
          <cell r="B96" t="str">
            <v>M33</v>
          </cell>
          <cell r="C96">
            <v>98433.719010000001</v>
          </cell>
        </row>
        <row r="97">
          <cell r="B97" t="str">
            <v>M34</v>
          </cell>
          <cell r="C97">
            <v>63808.264459999999</v>
          </cell>
        </row>
        <row r="98">
          <cell r="B98" t="str">
            <v>M35</v>
          </cell>
          <cell r="C98">
            <v>77208.59504</v>
          </cell>
        </row>
        <row r="99">
          <cell r="B99" t="str">
            <v>M36</v>
          </cell>
          <cell r="C99">
            <v>105988.76029999999</v>
          </cell>
        </row>
        <row r="100">
          <cell r="B100" t="str">
            <v>M37</v>
          </cell>
          <cell r="C100">
            <v>110062.80989999999</v>
          </cell>
        </row>
        <row r="101">
          <cell r="B101" t="str">
            <v>M38</v>
          </cell>
          <cell r="C101">
            <v>108932.2314</v>
          </cell>
        </row>
        <row r="102">
          <cell r="B102" t="str">
            <v>M39</v>
          </cell>
          <cell r="C102">
            <v>50745.123970000001</v>
          </cell>
        </row>
        <row r="103">
          <cell r="B103" t="str">
            <v>M40</v>
          </cell>
          <cell r="C103">
            <v>49731.570249999997</v>
          </cell>
        </row>
        <row r="104">
          <cell r="B104" t="str">
            <v>M41</v>
          </cell>
          <cell r="C104">
            <v>51806.280989999999</v>
          </cell>
        </row>
        <row r="105">
          <cell r="B105" t="str">
            <v>M42</v>
          </cell>
          <cell r="C105">
            <v>473652.89</v>
          </cell>
        </row>
        <row r="106">
          <cell r="B106" t="str">
            <v>M43</v>
          </cell>
          <cell r="C106">
            <v>98380.165290000004</v>
          </cell>
        </row>
        <row r="107">
          <cell r="B107" t="str">
            <v>M44</v>
          </cell>
          <cell r="C107">
            <v>108694.21490000001</v>
          </cell>
        </row>
        <row r="108">
          <cell r="B108" t="str">
            <v>M45</v>
          </cell>
          <cell r="C108">
            <v>98433.719010000001</v>
          </cell>
        </row>
        <row r="109">
          <cell r="B109" t="str">
            <v>M46</v>
          </cell>
          <cell r="C109">
            <v>63808.264459999999</v>
          </cell>
        </row>
        <row r="110">
          <cell r="B110" t="str">
            <v>M47</v>
          </cell>
          <cell r="C110">
            <v>77208.59504</v>
          </cell>
        </row>
        <row r="111">
          <cell r="B111" t="str">
            <v>M48</v>
          </cell>
          <cell r="C111">
            <v>105988.76029999999</v>
          </cell>
        </row>
        <row r="112">
          <cell r="B112" t="str">
            <v>M49</v>
          </cell>
          <cell r="C112">
            <v>110062.80989999999</v>
          </cell>
        </row>
        <row r="113">
          <cell r="B113" t="str">
            <v>M50</v>
          </cell>
          <cell r="C113">
            <v>108932.2314</v>
          </cell>
        </row>
        <row r="114">
          <cell r="B114" t="str">
            <v>M51</v>
          </cell>
          <cell r="C114">
            <v>50745.123970000001</v>
          </cell>
        </row>
        <row r="115">
          <cell r="B115" t="str">
            <v>M52</v>
          </cell>
          <cell r="C115">
            <v>49731.570249999997</v>
          </cell>
        </row>
        <row r="116">
          <cell r="B116" t="str">
            <v>M53</v>
          </cell>
          <cell r="C116">
            <v>51806.280989999999</v>
          </cell>
        </row>
        <row r="117">
          <cell r="B117" t="str">
            <v>M54</v>
          </cell>
          <cell r="C117">
            <v>473652.89</v>
          </cell>
        </row>
        <row r="118">
          <cell r="B118" t="str">
            <v>M55</v>
          </cell>
          <cell r="C118">
            <v>98380.165290000004</v>
          </cell>
        </row>
        <row r="119">
          <cell r="B119" t="str">
            <v>M56</v>
          </cell>
          <cell r="C119">
            <v>108694.21490000001</v>
          </cell>
        </row>
        <row r="120">
          <cell r="B120" t="str">
            <v>M57</v>
          </cell>
          <cell r="C120">
            <v>98433.719010000001</v>
          </cell>
        </row>
        <row r="121">
          <cell r="B121" t="str">
            <v>M58</v>
          </cell>
          <cell r="C121">
            <v>63808.264459999999</v>
          </cell>
        </row>
        <row r="122">
          <cell r="B122" t="str">
            <v>M59</v>
          </cell>
          <cell r="C122">
            <v>77208.59504</v>
          </cell>
        </row>
        <row r="123">
          <cell r="B123" t="str">
            <v>M60</v>
          </cell>
          <cell r="C123">
            <v>105988.76029999999</v>
          </cell>
        </row>
      </sheetData>
      <sheetData sheetId="1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Pools"/>
      <sheetName val="EvapRates"/>
      <sheetName val="Mead-Elevation-Area"/>
      <sheetName val="Powell-Elevation-Area-Evap"/>
      <sheetName val="FlamingGorge-Elevation-Area"/>
      <sheetName val="Area-Volume"/>
      <sheetName val="PowerCoefficients"/>
      <sheetName val="HydroPowerPrices"/>
      <sheetName val="TailwaterElevation"/>
      <sheetName val="HydroRevenueCalculations"/>
      <sheetName val="Evap-Volume"/>
      <sheetName val="Scenarios-InitStorConserve"/>
      <sheetName val="PivotData"/>
      <sheetName val="EvapSensPlot"/>
      <sheetName val="EconOverall"/>
    </sheetNames>
    <sheetDataSet>
      <sheetData sheetId="0"/>
      <sheetData sheetId="1"/>
      <sheetData sheetId="2">
        <row r="16">
          <cell r="D16">
            <v>2.0999999999999996</v>
          </cell>
        </row>
      </sheetData>
      <sheetData sheetId="3"/>
      <sheetData sheetId="4"/>
      <sheetData sheetId="5"/>
      <sheetData sheetId="6" refreshError="1"/>
      <sheetData sheetId="7"/>
      <sheetData sheetId="8"/>
      <sheetData sheetId="9"/>
      <sheetData sheetId="10"/>
      <sheetData sheetId="11" refreshError="1"/>
      <sheetData sheetId="12"/>
      <sheetData sheetId="13"/>
      <sheetData sheetId="14" refreshError="1"/>
      <sheetData sheetId="15"/>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DCF12-FA91-49C1-A23F-CF95ABA34232}">
  <dimension ref="A1:O43"/>
  <sheetViews>
    <sheetView topLeftCell="A19" workbookViewId="0">
      <selection activeCell="A28" sqref="A28"/>
    </sheetView>
  </sheetViews>
  <sheetFormatPr defaultRowHeight="15" x14ac:dyDescent="0.25"/>
  <cols>
    <col min="1" max="1" width="44.85546875" customWidth="1"/>
    <col min="2" max="2" width="13.28515625" customWidth="1"/>
  </cols>
  <sheetData>
    <row r="1" spans="1:15" ht="120" x14ac:dyDescent="0.25">
      <c r="A1" s="77" t="s">
        <v>155</v>
      </c>
      <c r="B1" s="79" t="s">
        <v>139</v>
      </c>
    </row>
    <row r="2" spans="1:15" x14ac:dyDescent="0.25">
      <c r="A2" s="162" t="s">
        <v>156</v>
      </c>
      <c r="B2" s="163"/>
    </row>
    <row r="3" spans="1:15" x14ac:dyDescent="0.25">
      <c r="A3" t="s">
        <v>136</v>
      </c>
      <c r="B3">
        <v>2617726.5</v>
      </c>
    </row>
    <row r="4" spans="1:15" x14ac:dyDescent="0.25">
      <c r="A4" t="s">
        <v>137</v>
      </c>
      <c r="B4">
        <v>0</v>
      </c>
    </row>
    <row r="5" spans="1:15" x14ac:dyDescent="0.25">
      <c r="A5" t="s">
        <v>138</v>
      </c>
      <c r="B5">
        <v>6987223.1405500006</v>
      </c>
    </row>
    <row r="6" spans="1:15" x14ac:dyDescent="0.25">
      <c r="A6" t="s">
        <v>140</v>
      </c>
      <c r="B6">
        <v>5</v>
      </c>
    </row>
    <row r="7" spans="1:15" x14ac:dyDescent="0.25">
      <c r="A7" t="s">
        <v>141</v>
      </c>
      <c r="B7" t="s">
        <v>142</v>
      </c>
    </row>
    <row r="9" spans="1:15" x14ac:dyDescent="0.25">
      <c r="A9" s="89" t="s">
        <v>143</v>
      </c>
    </row>
    <row r="10" spans="1:15" x14ac:dyDescent="0.25">
      <c r="A10" t="s">
        <v>144</v>
      </c>
      <c r="B10" t="s">
        <v>145</v>
      </c>
    </row>
    <row r="11" spans="1:15" x14ac:dyDescent="0.25">
      <c r="A11" t="s">
        <v>146</v>
      </c>
      <c r="B11" t="s">
        <v>147</v>
      </c>
    </row>
    <row r="12" spans="1:15" x14ac:dyDescent="0.25">
      <c r="A12" t="s">
        <v>148</v>
      </c>
      <c r="B12" t="s">
        <v>149</v>
      </c>
      <c r="O12" t="s">
        <v>154</v>
      </c>
    </row>
    <row r="14" spans="1:15" x14ac:dyDescent="0.25">
      <c r="A14" t="s">
        <v>151</v>
      </c>
      <c r="B14" t="s">
        <v>152</v>
      </c>
    </row>
    <row r="16" spans="1:15" x14ac:dyDescent="0.25">
      <c r="A16" t="s">
        <v>150</v>
      </c>
      <c r="B16" t="s">
        <v>153</v>
      </c>
      <c r="K16" t="s">
        <v>157</v>
      </c>
    </row>
    <row r="17" spans="1:12" x14ac:dyDescent="0.25">
      <c r="K17">
        <f>B5</f>
        <v>6987223.1405500006</v>
      </c>
      <c r="L17">
        <f>10000</f>
        <v>10000</v>
      </c>
    </row>
    <row r="18" spans="1:12" x14ac:dyDescent="0.25">
      <c r="K18">
        <f>K17+$L$17</f>
        <v>6997223.1405500006</v>
      </c>
    </row>
    <row r="19" spans="1:12" x14ac:dyDescent="0.25">
      <c r="K19">
        <f t="shared" ref="K19:K26" si="0">K18+$L$17</f>
        <v>7007223.1405500006</v>
      </c>
    </row>
    <row r="20" spans="1:12" x14ac:dyDescent="0.25">
      <c r="K20">
        <f t="shared" si="0"/>
        <v>7017223.1405500006</v>
      </c>
    </row>
    <row r="21" spans="1:12" x14ac:dyDescent="0.25">
      <c r="K21">
        <f t="shared" si="0"/>
        <v>7027223.1405500006</v>
      </c>
    </row>
    <row r="22" spans="1:12" x14ac:dyDescent="0.25">
      <c r="K22">
        <f t="shared" si="0"/>
        <v>7037223.1405500006</v>
      </c>
    </row>
    <row r="23" spans="1:12" x14ac:dyDescent="0.25">
      <c r="K23">
        <f t="shared" si="0"/>
        <v>7047223.1405500006</v>
      </c>
    </row>
    <row r="24" spans="1:12" x14ac:dyDescent="0.25">
      <c r="K24">
        <f t="shared" si="0"/>
        <v>7057223.1405500006</v>
      </c>
    </row>
    <row r="25" spans="1:12" x14ac:dyDescent="0.25">
      <c r="K25">
        <f t="shared" si="0"/>
        <v>7067223.1405500006</v>
      </c>
    </row>
    <row r="26" spans="1:12" x14ac:dyDescent="0.25">
      <c r="K26">
        <f t="shared" si="0"/>
        <v>7077223.1405500006</v>
      </c>
    </row>
    <row r="28" spans="1:12" ht="120" x14ac:dyDescent="0.25">
      <c r="A28" s="77" t="s">
        <v>158</v>
      </c>
    </row>
    <row r="31" spans="1:12" x14ac:dyDescent="0.25">
      <c r="A31" t="s">
        <v>159</v>
      </c>
    </row>
    <row r="32" spans="1:12" x14ac:dyDescent="0.25">
      <c r="A32" t="s">
        <v>160</v>
      </c>
    </row>
    <row r="33" spans="1:1" x14ac:dyDescent="0.25">
      <c r="A33" t="s">
        <v>161</v>
      </c>
    </row>
    <row r="35" spans="1:1" x14ac:dyDescent="0.25">
      <c r="A35" t="s">
        <v>162</v>
      </c>
    </row>
    <row r="36" spans="1:1" x14ac:dyDescent="0.25">
      <c r="A36" t="s">
        <v>163</v>
      </c>
    </row>
    <row r="41" spans="1:1" ht="120" x14ac:dyDescent="0.25">
      <c r="A41" s="77" t="s">
        <v>164</v>
      </c>
    </row>
    <row r="43" spans="1:1" x14ac:dyDescent="0.25">
      <c r="A43" t="s">
        <v>165</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17572-EF9A-4A34-96F5-1CB0C11DE088}">
  <sheetPr codeName="Sheet1"/>
  <dimension ref="A1:ER80"/>
  <sheetViews>
    <sheetView topLeftCell="B1" workbookViewId="0">
      <selection activeCell="B22" sqref="B22"/>
    </sheetView>
  </sheetViews>
  <sheetFormatPr defaultRowHeight="15" x14ac:dyDescent="0.25"/>
  <cols>
    <col min="1" max="1" width="15.28515625" customWidth="1"/>
    <col min="2" max="2" width="17.28515625" customWidth="1"/>
    <col min="3" max="3" width="15.7109375" customWidth="1"/>
    <col min="4" max="4" width="13.7109375" customWidth="1"/>
    <col min="5" max="5" width="18.140625" customWidth="1"/>
    <col min="6" max="6" width="14.42578125" customWidth="1"/>
    <col min="7" max="7" width="19" style="3" customWidth="1"/>
    <col min="8" max="8" width="20.42578125" style="3" customWidth="1"/>
    <col min="9" max="9" width="13" style="3" customWidth="1"/>
    <col min="10" max="12" width="16.85546875" style="3" customWidth="1"/>
    <col min="13" max="13" width="21.7109375" customWidth="1"/>
  </cols>
  <sheetData>
    <row r="1" spans="1:12" x14ac:dyDescent="0.25">
      <c r="A1" s="137" t="s">
        <v>122</v>
      </c>
      <c r="B1" s="8"/>
      <c r="G1" s="8"/>
      <c r="H1" s="8"/>
      <c r="I1" s="8"/>
      <c r="J1" s="8"/>
      <c r="K1" s="8"/>
      <c r="L1" s="8"/>
    </row>
    <row r="2" spans="1:12" x14ac:dyDescent="0.25">
      <c r="A2" s="172" t="s">
        <v>123</v>
      </c>
      <c r="B2" s="172"/>
      <c r="G2" s="8"/>
      <c r="H2" s="8"/>
      <c r="I2" s="8"/>
      <c r="J2" s="8"/>
      <c r="K2" s="8"/>
      <c r="L2" s="8"/>
    </row>
    <row r="3" spans="1:12" x14ac:dyDescent="0.25">
      <c r="A3" s="173" t="s">
        <v>135</v>
      </c>
      <c r="B3" s="173"/>
      <c r="G3" s="8"/>
      <c r="H3" s="8"/>
      <c r="I3" s="8"/>
      <c r="J3" s="8"/>
      <c r="K3" s="8"/>
      <c r="L3" s="8"/>
    </row>
    <row r="4" spans="1:12" x14ac:dyDescent="0.25">
      <c r="A4" s="174" t="s">
        <v>124</v>
      </c>
      <c r="B4" s="174"/>
      <c r="G4" s="8"/>
      <c r="H4" s="8"/>
      <c r="I4" s="8"/>
      <c r="J4" s="8"/>
      <c r="K4" s="8"/>
      <c r="L4" s="8"/>
    </row>
    <row r="5" spans="1:12" x14ac:dyDescent="0.25">
      <c r="A5" s="175" t="s">
        <v>125</v>
      </c>
      <c r="B5" s="175"/>
      <c r="G5" s="8"/>
      <c r="H5" s="8"/>
      <c r="I5" s="8"/>
      <c r="J5" s="8"/>
      <c r="K5" s="8"/>
      <c r="L5" s="8"/>
    </row>
    <row r="6" spans="1:12" x14ac:dyDescent="0.25">
      <c r="A6" s="176" t="s">
        <v>126</v>
      </c>
      <c r="B6" s="176"/>
      <c r="G6" s="8"/>
      <c r="H6" s="8"/>
      <c r="I6" s="8"/>
      <c r="J6" s="8"/>
      <c r="K6" s="8"/>
      <c r="L6" s="8"/>
    </row>
    <row r="7" spans="1:12" x14ac:dyDescent="0.25">
      <c r="G7" s="8"/>
      <c r="H7" s="8"/>
      <c r="I7" s="8"/>
      <c r="J7" s="8"/>
      <c r="K7" s="8"/>
      <c r="L7" s="8"/>
    </row>
    <row r="8" spans="1:12" ht="15.75" thickBot="1" x14ac:dyDescent="0.3">
      <c r="G8" s="8"/>
      <c r="H8" s="8"/>
      <c r="I8" s="8"/>
      <c r="J8" s="8"/>
      <c r="K8" s="8"/>
      <c r="L8" s="8"/>
    </row>
    <row r="9" spans="1:12" x14ac:dyDescent="0.25">
      <c r="A9" s="164" t="s">
        <v>127</v>
      </c>
      <c r="B9" s="165"/>
      <c r="C9" s="165"/>
      <c r="D9" s="165"/>
      <c r="E9" s="166"/>
      <c r="G9" s="164" t="s">
        <v>129</v>
      </c>
      <c r="H9" s="165"/>
      <c r="I9" s="166"/>
      <c r="J9" s="8"/>
      <c r="K9" s="8"/>
      <c r="L9" s="8"/>
    </row>
    <row r="10" spans="1:12" ht="15.75" thickBot="1" x14ac:dyDescent="0.3">
      <c r="A10" s="167"/>
      <c r="B10" s="168"/>
      <c r="C10" s="168"/>
      <c r="D10" s="168"/>
      <c r="E10" s="169"/>
      <c r="G10" s="167"/>
      <c r="H10" s="168"/>
      <c r="I10" s="169"/>
      <c r="J10" s="8"/>
      <c r="K10" s="8"/>
      <c r="L10" s="8"/>
    </row>
    <row r="11" spans="1:12" ht="45" x14ac:dyDescent="0.25">
      <c r="B11" s="132" t="s">
        <v>50</v>
      </c>
      <c r="C11" s="135" t="s">
        <v>121</v>
      </c>
      <c r="D11" s="133" t="s">
        <v>51</v>
      </c>
      <c r="E11" s="133" t="s">
        <v>128</v>
      </c>
      <c r="F11" s="3"/>
      <c r="G11" s="139" t="s">
        <v>117</v>
      </c>
      <c r="H11" s="139" t="s">
        <v>89</v>
      </c>
      <c r="I11" s="139" t="s">
        <v>91</v>
      </c>
    </row>
    <row r="12" spans="1:12" x14ac:dyDescent="0.25">
      <c r="A12" s="138" t="s">
        <v>2</v>
      </c>
      <c r="B12">
        <v>3</v>
      </c>
      <c r="C12" s="134">
        <v>1</v>
      </c>
      <c r="D12" s="75">
        <f>SUM(C28:C39)</f>
        <v>2914159.7355371914</v>
      </c>
      <c r="E12" s="8">
        <f>SUM(D28:D39)</f>
        <v>3600000</v>
      </c>
      <c r="F12" s="3"/>
      <c r="G12" s="130">
        <v>511735.5371900826</v>
      </c>
      <c r="H12" s="131">
        <v>5909</v>
      </c>
      <c r="I12" s="131">
        <v>6023</v>
      </c>
    </row>
    <row r="13" spans="1:12" x14ac:dyDescent="0.25">
      <c r="A13" s="138" t="s">
        <v>3</v>
      </c>
      <c r="B13">
        <v>3</v>
      </c>
      <c r="C13" s="134">
        <v>1</v>
      </c>
      <c r="D13" s="75">
        <f>SUM(C40:C51)</f>
        <v>2914159.7355371914</v>
      </c>
      <c r="E13" s="8">
        <f>SUM(D40:D51)</f>
        <v>3600000</v>
      </c>
      <c r="F13" s="3"/>
    </row>
    <row r="14" spans="1:12" ht="15.75" thickBot="1" x14ac:dyDescent="0.3">
      <c r="A14" s="138" t="s">
        <v>4</v>
      </c>
      <c r="B14">
        <v>3</v>
      </c>
      <c r="C14" s="134">
        <v>1</v>
      </c>
      <c r="D14" s="75">
        <f>SUM(C52:C63)</f>
        <v>2914159.7355371914</v>
      </c>
      <c r="E14" s="8">
        <f>SUM(D52:D63)</f>
        <v>3600000</v>
      </c>
      <c r="F14" s="3"/>
    </row>
    <row r="15" spans="1:12" ht="15.75" thickBot="1" x14ac:dyDescent="0.3">
      <c r="A15" s="138" t="s">
        <v>5</v>
      </c>
      <c r="B15" s="79">
        <v>3</v>
      </c>
      <c r="C15" s="142">
        <v>1</v>
      </c>
      <c r="D15" s="81">
        <f>SUM(C64:C75)</f>
        <v>2914159.7355371914</v>
      </c>
      <c r="E15" s="141">
        <f>SUM(D64:D75)</f>
        <v>3600000</v>
      </c>
      <c r="F15" s="3"/>
      <c r="G15" s="143" t="s">
        <v>132</v>
      </c>
      <c r="H15" s="143" t="s">
        <v>133</v>
      </c>
    </row>
    <row r="16" spans="1:12" ht="15.75" thickBot="1" x14ac:dyDescent="0.3">
      <c r="A16" s="140" t="s">
        <v>130</v>
      </c>
      <c r="B16" t="s">
        <v>131</v>
      </c>
      <c r="C16" s="119">
        <f>SUM(C12:C13)</f>
        <v>2</v>
      </c>
      <c r="D16" s="83">
        <f>SUM(D12:D15)</f>
        <v>11656638.942148766</v>
      </c>
      <c r="E16" s="119">
        <f>SUM(E12:E15)</f>
        <v>14400000</v>
      </c>
      <c r="F16" s="3"/>
      <c r="G16" s="119">
        <f>SUM(G28:G75)</f>
        <v>5</v>
      </c>
      <c r="H16" s="119">
        <f>SUM(H28:H75)</f>
        <v>3</v>
      </c>
      <c r="I16" s="170" t="s">
        <v>134</v>
      </c>
      <c r="J16" s="171"/>
      <c r="K16" s="171"/>
    </row>
    <row r="17" spans="1:148" x14ac:dyDescent="0.25">
      <c r="C17" s="75"/>
      <c r="E17" s="3"/>
      <c r="F17" s="3"/>
    </row>
    <row r="18" spans="1:148" x14ac:dyDescent="0.25">
      <c r="E18" s="3"/>
    </row>
    <row r="19" spans="1:148" x14ac:dyDescent="0.25">
      <c r="A19" s="144"/>
      <c r="B19" s="144"/>
      <c r="C19" s="144"/>
      <c r="D19" s="144"/>
      <c r="E19" s="3"/>
      <c r="G19" s="101"/>
    </row>
    <row r="20" spans="1:148" ht="31.15" customHeight="1" x14ac:dyDescent="0.25">
      <c r="A20" s="141"/>
      <c r="B20" s="144"/>
      <c r="C20" s="141"/>
      <c r="D20" s="144"/>
      <c r="E20" s="3"/>
      <c r="F20" s="3"/>
    </row>
    <row r="21" spans="1:148" x14ac:dyDescent="0.25">
      <c r="C21" s="3"/>
      <c r="E21" s="3"/>
      <c r="F21" s="3"/>
    </row>
    <row r="22" spans="1:148" x14ac:dyDescent="0.25">
      <c r="C22" s="3"/>
      <c r="E22" s="3"/>
      <c r="F22" s="3"/>
    </row>
    <row r="23" spans="1:148" x14ac:dyDescent="0.25">
      <c r="C23" s="3"/>
      <c r="E23" s="3"/>
      <c r="F23" s="3"/>
    </row>
    <row r="24" spans="1:148" ht="15.75" thickBot="1" x14ac:dyDescent="0.3">
      <c r="C24" s="3"/>
      <c r="E24" s="3"/>
      <c r="F24" s="3"/>
    </row>
    <row r="25" spans="1:148" ht="30.75" thickBot="1" x14ac:dyDescent="0.3">
      <c r="B25" s="145"/>
      <c r="C25" s="3"/>
      <c r="E25" s="161" t="s">
        <v>88</v>
      </c>
      <c r="F25" s="3"/>
    </row>
    <row r="26" spans="1:148" ht="15.75" thickBot="1" x14ac:dyDescent="0.3">
      <c r="B26" s="146"/>
      <c r="C26" s="3"/>
      <c r="E26" s="160">
        <v>2617726.5</v>
      </c>
      <c r="F26" s="3"/>
    </row>
    <row r="27" spans="1:148" ht="45.75" thickBot="1" x14ac:dyDescent="0.3">
      <c r="A27" s="154" t="s">
        <v>1</v>
      </c>
      <c r="B27" s="155" t="s">
        <v>0</v>
      </c>
      <c r="C27" s="156" t="s">
        <v>52</v>
      </c>
      <c r="D27" s="157" t="s">
        <v>57</v>
      </c>
      <c r="E27" s="153" t="s">
        <v>55</v>
      </c>
      <c r="F27" s="158" t="s">
        <v>56</v>
      </c>
      <c r="G27" s="158" t="s">
        <v>119</v>
      </c>
      <c r="H27" s="158" t="s">
        <v>120</v>
      </c>
      <c r="I27" s="158" t="s">
        <v>53</v>
      </c>
      <c r="J27" s="158" t="s">
        <v>54</v>
      </c>
      <c r="K27" s="158" t="s">
        <v>118</v>
      </c>
      <c r="L27" s="159" t="s">
        <v>68</v>
      </c>
    </row>
    <row r="28" spans="1:148" s="1" customFormat="1" ht="15.75" x14ac:dyDescent="0.25">
      <c r="A28" s="147">
        <v>1</v>
      </c>
      <c r="B28" s="148">
        <v>1</v>
      </c>
      <c r="C28" s="149">
        <f>IF($B$12=1,WaterYears!I2,IF($B$12=2,WaterYears!I17,IF($B$12=3,WaterYears!I32,0)))</f>
        <v>54709.884297520672</v>
      </c>
      <c r="D28" s="118">
        <v>300000</v>
      </c>
      <c r="E28" s="150">
        <f>E26</f>
        <v>2617726.5</v>
      </c>
      <c r="F28" s="149" cm="1">
        <f t="array" ref="F28">LinInterp(E28,'FlamingGorge-Elevation-Area'!H5:H625,'FlamingGorge-Elevation-Area'!I5:I625)</f>
        <v>6009.2728083700576</v>
      </c>
      <c r="G28" s="151">
        <f t="shared" ref="G28:G40" si="0">IF(F28&gt;$H$12,0,1)</f>
        <v>0</v>
      </c>
      <c r="H28" s="151">
        <f t="shared" ref="H28:H75" si="1">IF(F28&lt;$I$12,0,1)</f>
        <v>0</v>
      </c>
      <c r="I28" s="149">
        <f>IF($B$12=1,'Monthly Flow Demands'!I64,IF($B$12=2,'Monthly Flow Demands'!I40,IF($B$12=3,'Monthly Flow Demands'!I13,0)))</f>
        <v>61487.603305785124</v>
      </c>
      <c r="J28" s="149">
        <f>HydropowerData!W2</f>
        <v>110062.80991735538</v>
      </c>
      <c r="K28" s="152">
        <f>IF(I28&gt;J28,I28,J28)</f>
        <v>110062.80991735538</v>
      </c>
      <c r="L28" s="149" t="str">
        <f>IF(I28&gt;J28,"B.F.","Hydro")</f>
        <v>Hydro</v>
      </c>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row>
    <row r="29" spans="1:148" s="1" customFormat="1" ht="15.75" x14ac:dyDescent="0.25">
      <c r="A29" s="69">
        <v>1</v>
      </c>
      <c r="B29" s="6">
        <v>2</v>
      </c>
      <c r="C29" s="73">
        <f>IF($B$12=1,WaterYears!I3,IF($B$12=2,WaterYears!I18,IF($B$12=3,WaterYears!I33,0)))</f>
        <v>102194.57851239675</v>
      </c>
      <c r="D29" s="118">
        <v>300000</v>
      </c>
      <c r="E29" s="71">
        <f>C29+E28-D29</f>
        <v>2419921.0785123967</v>
      </c>
      <c r="F29" s="73" cm="1">
        <f t="array" ref="F29">LinInterp(E29,'FlamingGorge-Elevation-Area'!H6:H626,'FlamingGorge-Elevation-Area'!I6:I626)</f>
        <v>6002.97808309433</v>
      </c>
      <c r="G29" s="4">
        <f t="shared" si="0"/>
        <v>0</v>
      </c>
      <c r="H29" s="4">
        <f t="shared" si="1"/>
        <v>0</v>
      </c>
      <c r="I29" s="73">
        <f>IF($B$12=1,'Monthly Flow Demands'!I65,IF($B$12=2,'Monthly Flow Demands'!I41,IF($B$12=3,'Monthly Flow Demands'!I14,0)))</f>
        <v>55537.190082644622</v>
      </c>
      <c r="J29" s="73">
        <f>HydropowerData!W3</f>
        <v>108932.23140495867</v>
      </c>
      <c r="K29" s="87">
        <f t="shared" ref="K29:K75" si="2">IF(I29&gt;J29,I29,J29)</f>
        <v>108932.23140495867</v>
      </c>
      <c r="L29" s="73" t="str">
        <f t="shared" ref="L29:L39" si="3">IF(I29&gt;J29,"B.F.","Hydro")</f>
        <v>Hydro</v>
      </c>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row>
    <row r="30" spans="1:148" s="1" customFormat="1" ht="15.75" x14ac:dyDescent="0.25">
      <c r="A30" s="69">
        <v>1</v>
      </c>
      <c r="B30" s="6">
        <v>3</v>
      </c>
      <c r="C30" s="73">
        <f>IF($B$12=1,WaterYears!I4,IF($B$12=2,WaterYears!I19,IF($B$12=3,WaterYears!I34,0)))</f>
        <v>310868.62809917401</v>
      </c>
      <c r="D30" s="118">
        <v>300000</v>
      </c>
      <c r="E30" s="71">
        <f t="shared" ref="E30:E34" si="4">C30+E29-D30</f>
        <v>2430789.7066115709</v>
      </c>
      <c r="F30" s="73" cm="1">
        <f t="array" ref="F30">LinInterp(E30,'FlamingGorge-Elevation-Area'!H7:H627,'FlamingGorge-Elevation-Area'!I7:I627)</f>
        <v>6003.3320511283118</v>
      </c>
      <c r="G30" s="4">
        <f t="shared" si="0"/>
        <v>0</v>
      </c>
      <c r="H30" s="4">
        <f t="shared" si="1"/>
        <v>0</v>
      </c>
      <c r="I30" s="73">
        <f>IF($B$12=1,'Monthly Flow Demands'!I66,IF($B$12=2,'Monthly Flow Demands'!I42,IF($B$12=3,'Monthly Flow Demands'!I15,0)))</f>
        <v>49190.082644628099</v>
      </c>
      <c r="J30" s="73">
        <f>HydropowerData!W4</f>
        <v>50745.123966942148</v>
      </c>
      <c r="K30" s="87">
        <f t="shared" si="2"/>
        <v>50745.123966942148</v>
      </c>
      <c r="L30" s="73" t="str">
        <f t="shared" si="3"/>
        <v>Hydro</v>
      </c>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row>
    <row r="31" spans="1:148" s="1" customFormat="1" ht="15.75" x14ac:dyDescent="0.25">
      <c r="A31" s="69">
        <v>1</v>
      </c>
      <c r="B31" s="6">
        <v>4</v>
      </c>
      <c r="C31" s="73">
        <f>IF($B$12=1,WaterYears!I5,IF($B$12=2,WaterYears!I20,IF($B$12=3,WaterYears!I35,0)))</f>
        <v>412552.06611570274</v>
      </c>
      <c r="D31" s="118">
        <v>300000</v>
      </c>
      <c r="E31" s="71">
        <f t="shared" si="4"/>
        <v>2543341.7727272734</v>
      </c>
      <c r="F31" s="73" cm="1">
        <f t="array" ref="F31">LinInterp(E31,'FlamingGorge-Elevation-Area'!H8:H628,'FlamingGorge-Elevation-Area'!I8:I628)</f>
        <v>6006.9420555034976</v>
      </c>
      <c r="G31" s="4">
        <f t="shared" si="0"/>
        <v>0</v>
      </c>
      <c r="H31" s="4">
        <f t="shared" si="1"/>
        <v>0</v>
      </c>
      <c r="I31" s="73">
        <f>IF($B$12=1,'Monthly Flow Demands'!I67,IF($B$12=2,'Monthly Flow Demands'!I43,IF($B$12=3,'Monthly Flow Demands'!I16,0)))</f>
        <v>47603.305785123972</v>
      </c>
      <c r="J31" s="73">
        <f>HydropowerData!W5</f>
        <v>49731.570247933887</v>
      </c>
      <c r="K31" s="87">
        <f t="shared" si="2"/>
        <v>49731.570247933887</v>
      </c>
      <c r="L31" s="73" t="str">
        <f t="shared" si="3"/>
        <v>Hydro</v>
      </c>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row>
    <row r="32" spans="1:148" s="1" customFormat="1" ht="15.75" x14ac:dyDescent="0.25">
      <c r="A32" s="69">
        <v>1</v>
      </c>
      <c r="B32" s="6">
        <v>5</v>
      </c>
      <c r="C32" s="73">
        <f>IF($B$12=1,WaterYears!I6,IF($B$12=2,WaterYears!I21,IF($B$12=3,WaterYears!I36,0)))</f>
        <v>552063.4710743801</v>
      </c>
      <c r="D32" s="118">
        <v>300000</v>
      </c>
      <c r="E32" s="71">
        <f t="shared" si="4"/>
        <v>2795405.2438016534</v>
      </c>
      <c r="F32" s="73" cm="1">
        <f t="array" ref="F32">LinInterp(E32,'FlamingGorge-Elevation-Area'!H9:H629,'FlamingGorge-Elevation-Area'!I9:I629)</f>
        <v>6014.6640283057914</v>
      </c>
      <c r="G32" s="4">
        <f t="shared" si="0"/>
        <v>0</v>
      </c>
      <c r="H32" s="4">
        <f t="shared" si="1"/>
        <v>0</v>
      </c>
      <c r="I32" s="73">
        <f>IF($B$12=1,'Monthly Flow Demands'!I68,IF($B$12=2,'Monthly Flow Demands'!I44,IF($B$12=3,'Monthly Flow Demands'!I17,0)))</f>
        <v>50578.512396694212</v>
      </c>
      <c r="J32" s="73">
        <f>HydropowerData!W6</f>
        <v>51806.280991735541</v>
      </c>
      <c r="K32" s="87">
        <f t="shared" si="2"/>
        <v>51806.280991735541</v>
      </c>
      <c r="L32" s="73" t="str">
        <f t="shared" si="3"/>
        <v>Hydro</v>
      </c>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row>
    <row r="33" spans="1:148" s="1" customFormat="1" ht="15.75" x14ac:dyDescent="0.25">
      <c r="A33" s="69">
        <v>1</v>
      </c>
      <c r="B33" s="84">
        <v>6</v>
      </c>
      <c r="C33" s="73">
        <f>IF($B$12=1,WaterYears!I7,IF($B$12=2,WaterYears!I22,IF($B$12=3,WaterYears!I37,0)))</f>
        <v>658152.3966942149</v>
      </c>
      <c r="D33" s="118">
        <v>300000</v>
      </c>
      <c r="E33" s="71">
        <f t="shared" si="4"/>
        <v>3153557.6404958684</v>
      </c>
      <c r="F33" s="73" cm="1">
        <f t="array" ref="F33">LinInterp(E33,'FlamingGorge-Elevation-Area'!H10:H630,'FlamingGorge-Elevation-Area'!I10:I630)</f>
        <v>6024.8197851347295</v>
      </c>
      <c r="G33" s="4">
        <f t="shared" si="0"/>
        <v>0</v>
      </c>
      <c r="H33" s="4">
        <f t="shared" si="1"/>
        <v>1</v>
      </c>
      <c r="I33" s="43">
        <f>IF($B$15=1,'Monthly Flow Demands'!I69,IF($B$15=2,'Monthly Flow Demands'!I45,IF($B$15=3,'Monthly Flow Demands'!I18,0)))*C12</f>
        <v>473652.89256198402</v>
      </c>
      <c r="J33" s="73">
        <f>HydropowerData!W7</f>
        <v>124661.15702479339</v>
      </c>
      <c r="K33" s="87">
        <f t="shared" si="2"/>
        <v>473652.89256198402</v>
      </c>
      <c r="L33" s="73" t="str">
        <f t="shared" si="3"/>
        <v>B.F.</v>
      </c>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row>
    <row r="34" spans="1:148" s="1" customFormat="1" ht="15.75" x14ac:dyDescent="0.25">
      <c r="A34" s="69">
        <v>1</v>
      </c>
      <c r="B34" s="85">
        <v>7</v>
      </c>
      <c r="C34" s="73">
        <f>IF($B$12=1,WaterYears!I8,IF($B$12=2,WaterYears!I23,IF($B$12=3,WaterYears!I38,0)))</f>
        <v>366615.66942148778</v>
      </c>
      <c r="D34" s="118">
        <v>300000</v>
      </c>
      <c r="E34" s="71">
        <f t="shared" si="4"/>
        <v>3220173.3099173564</v>
      </c>
      <c r="F34" s="73" cm="1">
        <f t="array" ref="F34">LinInterp(E34,'FlamingGorge-Elevation-Area'!H11:H631,'FlamingGorge-Elevation-Area'!I11:I631)</f>
        <v>6026.6118065233604</v>
      </c>
      <c r="G34" s="4">
        <f t="shared" si="0"/>
        <v>0</v>
      </c>
      <c r="H34" s="4">
        <f t="shared" si="1"/>
        <v>1</v>
      </c>
      <c r="I34" s="73">
        <f>IF($B$12=1,'Monthly Flow Demands'!I70,IF($B$12=2,'Monthly Flow Demands'!I46,IF($B$12=3,'Monthly Flow Demands'!I19,0)))</f>
        <v>98380.165289256198</v>
      </c>
      <c r="J34" s="73">
        <f>HydropowerData!W8</f>
        <v>89708.42975206612</v>
      </c>
      <c r="K34" s="87">
        <f t="shared" si="2"/>
        <v>98380.165289256198</v>
      </c>
      <c r="L34" s="73" t="str">
        <f t="shared" si="3"/>
        <v>B.F.</v>
      </c>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row>
    <row r="35" spans="1:148" s="1" customFormat="1" ht="15.75" x14ac:dyDescent="0.25">
      <c r="A35" s="69">
        <v>1</v>
      </c>
      <c r="B35" s="85">
        <v>8</v>
      </c>
      <c r="C35" s="73">
        <f>IF($B$12=1,WaterYears!I9,IF($B$12=2,WaterYears!I24,IF($B$12=3,WaterYears!I39,0)))</f>
        <v>170992.66115702511</v>
      </c>
      <c r="D35" s="118">
        <v>300000</v>
      </c>
      <c r="E35" s="71">
        <f>C35+E34-D35</f>
        <v>3091165.9710743814</v>
      </c>
      <c r="F35" s="73" cm="1">
        <f t="array" ref="F35">LinInterp(E35,'FlamingGorge-Elevation-Area'!H12:H632,'FlamingGorge-Elevation-Area'!I12:I632)</f>
        <v>6023.1152167154587</v>
      </c>
      <c r="G35" s="4">
        <f t="shared" si="0"/>
        <v>0</v>
      </c>
      <c r="H35" s="4">
        <f t="shared" si="1"/>
        <v>1</v>
      </c>
      <c r="I35" s="73">
        <f>IF($B$12=1,'Monthly Flow Demands'!I71,IF($B$12=2,'Monthly Flow Demands'!I47,IF($B$12=3,'Monthly Flow Demands'!I20,0)))</f>
        <v>98380.165289256198</v>
      </c>
      <c r="J35" s="73">
        <f>HydropowerData!W9</f>
        <v>108694.21487603306</v>
      </c>
      <c r="K35" s="87">
        <f t="shared" si="2"/>
        <v>108694.21487603306</v>
      </c>
      <c r="L35" s="73" t="str">
        <f t="shared" si="3"/>
        <v>Hydro</v>
      </c>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row>
    <row r="36" spans="1:148" s="1" customFormat="1" ht="15.75" x14ac:dyDescent="0.25">
      <c r="A36" s="69">
        <v>1</v>
      </c>
      <c r="B36" s="85">
        <v>9</v>
      </c>
      <c r="C36" s="73">
        <f>IF($B$12=1,WaterYears!I10,IF($B$12=2,WaterYears!I25,IF($B$12=3,WaterYears!I40,0)))</f>
        <v>83957.950413223152</v>
      </c>
      <c r="D36" s="118">
        <v>300000</v>
      </c>
      <c r="E36" s="71">
        <f t="shared" ref="E36:E39" si="5">C36+E35-D36</f>
        <v>2875123.9214876047</v>
      </c>
      <c r="F36" s="73" cm="1">
        <f t="array" ref="F36">LinInterp(E36,'FlamingGorge-Elevation-Area'!H13:H633,'FlamingGorge-Elevation-Area'!I13:I633)</f>
        <v>6017.0031864071543</v>
      </c>
      <c r="G36" s="4">
        <f t="shared" si="0"/>
        <v>0</v>
      </c>
      <c r="H36" s="4">
        <f t="shared" si="1"/>
        <v>0</v>
      </c>
      <c r="I36" s="73">
        <f>IF($B$12=1,'Monthly Flow Demands'!I72,IF($B$12=2,'Monthly Flow Demands'!I48,IF($B$12=3,'Monthly Flow Demands'!I21,0)))</f>
        <v>95206.611570247944</v>
      </c>
      <c r="J36" s="73">
        <f>HydropowerData!W10</f>
        <v>98433.719008264467</v>
      </c>
      <c r="K36" s="87">
        <f t="shared" si="2"/>
        <v>98433.719008264467</v>
      </c>
      <c r="L36" s="73" t="str">
        <f t="shared" si="3"/>
        <v>Hydro</v>
      </c>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row>
    <row r="37" spans="1:148" s="1" customFormat="1" ht="15.75" x14ac:dyDescent="0.25">
      <c r="A37" s="69">
        <v>1</v>
      </c>
      <c r="B37" s="6">
        <v>10</v>
      </c>
      <c r="C37" s="73">
        <f>IF($B$12=1,WaterYears!I11,IF($B$12=2,WaterYears!I26,IF($B$12=3,WaterYears!I41,0)))</f>
        <v>65591.801652892609</v>
      </c>
      <c r="D37" s="118">
        <v>300000</v>
      </c>
      <c r="E37" s="71">
        <f t="shared" si="5"/>
        <v>2640715.7231404972</v>
      </c>
      <c r="F37" s="73" cm="1">
        <f t="array" ref="F37">LinInterp(E37,'FlamingGorge-Elevation-Area'!H14:H634,'FlamingGorge-Elevation-Area'!I14:I634)</f>
        <v>6009.9850153702828</v>
      </c>
      <c r="G37" s="4">
        <f t="shared" si="0"/>
        <v>0</v>
      </c>
      <c r="H37" s="4">
        <f t="shared" si="1"/>
        <v>0</v>
      </c>
      <c r="I37" s="73">
        <f>IF($B$12=1,'Monthly Flow Demands'!I73,IF($B$12=2,'Monthly Flow Demands'!I49,IF($B$12=3,'Monthly Flow Demands'!I22,0)))</f>
        <v>52264.462809917357</v>
      </c>
      <c r="J37" s="73">
        <f>HydropowerData!W11</f>
        <v>63808.264462809915</v>
      </c>
      <c r="K37" s="87">
        <f t="shared" si="2"/>
        <v>63808.264462809915</v>
      </c>
      <c r="L37" s="73" t="str">
        <f t="shared" si="3"/>
        <v>Hydro</v>
      </c>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row>
    <row r="38" spans="1:148" s="1" customFormat="1" ht="15.75" x14ac:dyDescent="0.25">
      <c r="A38" s="69">
        <v>1</v>
      </c>
      <c r="B38" s="6">
        <v>11</v>
      </c>
      <c r="C38" s="73">
        <f>IF($B$12=1,WaterYears!I12,IF($B$12=2,WaterYears!I27,IF($B$12=3,WaterYears!I42,0)))</f>
        <v>72242.181818181853</v>
      </c>
      <c r="D38" s="118">
        <v>300000</v>
      </c>
      <c r="E38" s="71">
        <f t="shared" si="5"/>
        <v>2412957.9049586789</v>
      </c>
      <c r="F38" s="73" cm="1">
        <f t="array" ref="F38">LinInterp(E38,'FlamingGorge-Elevation-Area'!H15:H635,'FlamingGorge-Elevation-Area'!I15:I635)</f>
        <v>6002.7504483589219</v>
      </c>
      <c r="G38" s="4">
        <f t="shared" si="0"/>
        <v>0</v>
      </c>
      <c r="H38" s="4">
        <f t="shared" si="1"/>
        <v>0</v>
      </c>
      <c r="I38" s="73">
        <f>IF($B$12=1,'Monthly Flow Demands'!I74,IF($B$12=2,'Monthly Flow Demands'!I50,IF($B$12=3,'Monthly Flow Demands'!I23,0)))</f>
        <v>50578.512396694212</v>
      </c>
      <c r="J38" s="73">
        <f>HydropowerData!W12</f>
        <v>77208.595041322318</v>
      </c>
      <c r="K38" s="87">
        <f t="shared" si="2"/>
        <v>77208.595041322318</v>
      </c>
      <c r="L38" s="73" t="str">
        <f t="shared" si="3"/>
        <v>Hydro</v>
      </c>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row>
    <row r="39" spans="1:148" s="1" customFormat="1" ht="15.75" x14ac:dyDescent="0.25">
      <c r="A39" s="69">
        <v>1</v>
      </c>
      <c r="B39" s="6">
        <v>12</v>
      </c>
      <c r="C39" s="73">
        <f>IF($B$12=1,WaterYears!I13,IF($B$12=2,WaterYears!I28,IF($B$12=3,WaterYears!I43,0)))</f>
        <v>64218.446280991753</v>
      </c>
      <c r="D39" s="118">
        <v>300000</v>
      </c>
      <c r="E39" s="71">
        <f t="shared" si="5"/>
        <v>2177176.3512396705</v>
      </c>
      <c r="F39" s="73" cm="1">
        <f t="array" ref="F39">LinInterp(E39,'FlamingGorge-Elevation-Area'!H16:H636,'FlamingGorge-Elevation-Area'!I16:I636)</f>
        <v>5994.7792619895099</v>
      </c>
      <c r="G39" s="4">
        <f t="shared" si="0"/>
        <v>0</v>
      </c>
      <c r="H39" s="4">
        <f t="shared" si="1"/>
        <v>0</v>
      </c>
      <c r="I39" s="73">
        <f>IF($B$12=1,'Monthly Flow Demands'!I75,IF($B$12=2,'Monthly Flow Demands'!I51,IF($B$12=3,'Monthly Flow Demands'!I24,0)))</f>
        <v>61487.603305785124</v>
      </c>
      <c r="J39" s="73">
        <f>HydropowerData!W13</f>
        <v>105988.76033057852</v>
      </c>
      <c r="K39" s="87">
        <f t="shared" si="2"/>
        <v>105988.76033057852</v>
      </c>
      <c r="L39" s="73" t="str">
        <f t="shared" si="3"/>
        <v>Hydro</v>
      </c>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row>
    <row r="40" spans="1:148" s="2" customFormat="1" ht="15.75" x14ac:dyDescent="0.25">
      <c r="A40" s="70">
        <v>2</v>
      </c>
      <c r="B40" s="7">
        <v>13</v>
      </c>
      <c r="C40" s="74">
        <f>IF($B$13=1,WaterYears!I2,IF($B$13=2,WaterYears!I17,IF($B$13=3,WaterYears!I32,0)))</f>
        <v>54709.884297520672</v>
      </c>
      <c r="D40" s="118">
        <v>300000</v>
      </c>
      <c r="E40" s="72">
        <f>C40+E39-D40</f>
        <v>1931886.2355371914</v>
      </c>
      <c r="F40" s="74" cm="1">
        <f t="array" ref="F40">LinInterp(E40,'FlamingGorge-Elevation-Area'!H17:H637,'FlamingGorge-Elevation-Area'!I17:I637)</f>
        <v>5985.8286422278125</v>
      </c>
      <c r="G40" s="5">
        <f t="shared" si="0"/>
        <v>0</v>
      </c>
      <c r="H40" s="5">
        <f t="shared" si="1"/>
        <v>0</v>
      </c>
      <c r="I40" s="74">
        <f>IF($B$13=1,'Monthly Flow Demands'!I64,IF($B$13=2,'Monthly Flow Demands'!I40,IF($B$13=3,'Monthly Flow Demands'!I13,0)))</f>
        <v>61487.603305785124</v>
      </c>
      <c r="J40" s="74">
        <f>HydropowerData!W2</f>
        <v>110062.80991735538</v>
      </c>
      <c r="K40" s="87">
        <f t="shared" si="2"/>
        <v>110062.80991735538</v>
      </c>
      <c r="L40" s="74" t="str">
        <f t="shared" ref="L40:L75" si="6">IF(I40&gt;J40,"B.F.","Hydro")</f>
        <v>Hydro</v>
      </c>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row>
    <row r="41" spans="1:148" s="2" customFormat="1" ht="15.75" x14ac:dyDescent="0.25">
      <c r="A41" s="70">
        <v>2</v>
      </c>
      <c r="B41" s="7">
        <v>14</v>
      </c>
      <c r="C41" s="74">
        <f>IF($B$13=1,WaterYears!I3,IF($B$13=2,WaterYears!I18,IF($B$13=3,WaterYears!I33,0)))</f>
        <v>102194.57851239675</v>
      </c>
      <c r="D41" s="118">
        <v>300000</v>
      </c>
      <c r="E41" s="72">
        <f t="shared" ref="E41:E75" si="7">C41+E40-D41</f>
        <v>1734080.8140495881</v>
      </c>
      <c r="F41" s="74" cm="1">
        <f t="array" ref="F41">LinInterp(E41,'FlamingGorge-Elevation-Area'!H18:H638,'FlamingGorge-Elevation-Area'!I18:I638)</f>
        <v>5978.0594642428105</v>
      </c>
      <c r="G41" s="5">
        <f>IF(F41&gt;=$H$12,0,1)</f>
        <v>0</v>
      </c>
      <c r="H41" s="5">
        <f t="shared" si="1"/>
        <v>0</v>
      </c>
      <c r="I41" s="74">
        <f>IF($B$13=1,'Monthly Flow Demands'!I65,IF($B$13=2,'Monthly Flow Demands'!I41,IF($B$13=3,'Monthly Flow Demands'!I14,0)))</f>
        <v>55537.190082644622</v>
      </c>
      <c r="J41" s="74">
        <f>HydropowerData!W3</f>
        <v>108932.23140495867</v>
      </c>
      <c r="K41" s="87">
        <f t="shared" si="2"/>
        <v>108932.23140495867</v>
      </c>
      <c r="L41" s="74" t="str">
        <f t="shared" si="6"/>
        <v>Hydro</v>
      </c>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row>
    <row r="42" spans="1:148" s="2" customFormat="1" ht="15.75" x14ac:dyDescent="0.25">
      <c r="A42" s="70">
        <v>2</v>
      </c>
      <c r="B42" s="7">
        <v>15</v>
      </c>
      <c r="C42" s="74">
        <f>IF($B$13=1,WaterYears!I4,IF($B$13=2,WaterYears!I19,IF($B$13=3,WaterYears!I34,0)))</f>
        <v>310868.62809917401</v>
      </c>
      <c r="D42" s="118">
        <v>300000</v>
      </c>
      <c r="E42" s="72">
        <f t="shared" si="7"/>
        <v>1744949.4421487621</v>
      </c>
      <c r="F42" s="74" cm="1">
        <f t="array" ref="F42">LinInterp(E42,'FlamingGorge-Elevation-Area'!H19:H639,'FlamingGorge-Elevation-Area'!I19:I639)</f>
        <v>5978.5018750814315</v>
      </c>
      <c r="G42" s="5">
        <f t="shared" ref="G42:G75" si="8">IF(F42&gt;$H$12,0,1)</f>
        <v>0</v>
      </c>
      <c r="H42" s="5">
        <f t="shared" si="1"/>
        <v>0</v>
      </c>
      <c r="I42" s="74">
        <f>IF($B$13=1,'Monthly Flow Demands'!I66,IF($B$13=2,'Monthly Flow Demands'!I42,IF($B$13=3,'Monthly Flow Demands'!I15,0)))</f>
        <v>49190.082644628099</v>
      </c>
      <c r="J42" s="74">
        <f>HydropowerData!W4</f>
        <v>50745.123966942148</v>
      </c>
      <c r="K42" s="87">
        <f t="shared" si="2"/>
        <v>50745.123966942148</v>
      </c>
      <c r="L42" s="74" t="str">
        <f t="shared" si="6"/>
        <v>Hydro</v>
      </c>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row>
    <row r="43" spans="1:148" s="2" customFormat="1" ht="15.75" x14ac:dyDescent="0.25">
      <c r="A43" s="70">
        <v>2</v>
      </c>
      <c r="B43" s="7">
        <v>16</v>
      </c>
      <c r="C43" s="74">
        <f>IF($B$13=1,WaterYears!I5,IF($B$13=2,WaterYears!I20,IF($B$13=3,WaterYears!I35,0)))</f>
        <v>412552.06611570274</v>
      </c>
      <c r="D43" s="118">
        <v>300000</v>
      </c>
      <c r="E43" s="72">
        <f t="shared" si="7"/>
        <v>1857501.5082644648</v>
      </c>
      <c r="F43" s="74" cm="1">
        <f t="array" ref="F43">LinInterp(E43,'FlamingGorge-Elevation-Area'!H20:H640,'FlamingGorge-Elevation-Area'!I20:I640)</f>
        <v>5982.9705478535161</v>
      </c>
      <c r="G43" s="5">
        <f t="shared" si="8"/>
        <v>0</v>
      </c>
      <c r="H43" s="5">
        <f t="shared" si="1"/>
        <v>0</v>
      </c>
      <c r="I43" s="74">
        <f>IF($B$13=1,'Monthly Flow Demands'!I67,IF($B$13=2,'Monthly Flow Demands'!I43,IF($B$13=3,'Monthly Flow Demands'!I16,0)))</f>
        <v>47603.305785123972</v>
      </c>
      <c r="J43" s="74">
        <f>HydropowerData!W5</f>
        <v>49731.570247933887</v>
      </c>
      <c r="K43" s="87">
        <f t="shared" si="2"/>
        <v>49731.570247933887</v>
      </c>
      <c r="L43" s="74" t="str">
        <f t="shared" si="6"/>
        <v>Hydro</v>
      </c>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row>
    <row r="44" spans="1:148" s="2" customFormat="1" ht="15.75" x14ac:dyDescent="0.25">
      <c r="A44" s="70">
        <v>2</v>
      </c>
      <c r="B44" s="7">
        <v>17</v>
      </c>
      <c r="C44" s="74">
        <f>IF($B$13=1,WaterYears!I6,IF($B$13=2,WaterYears!I21,IF($B$13=3,WaterYears!I36,0)))</f>
        <v>552063.4710743801</v>
      </c>
      <c r="D44" s="118">
        <v>300000</v>
      </c>
      <c r="E44" s="72">
        <f t="shared" si="7"/>
        <v>2109564.9793388448</v>
      </c>
      <c r="F44" s="74" cm="1">
        <f t="array" ref="F44">LinInterp(E44,'FlamingGorge-Elevation-Area'!H21:H641,'FlamingGorge-Elevation-Area'!I21:I641)</f>
        <v>5992.38418835843</v>
      </c>
      <c r="G44" s="5">
        <f t="shared" si="8"/>
        <v>0</v>
      </c>
      <c r="H44" s="5">
        <f t="shared" si="1"/>
        <v>0</v>
      </c>
      <c r="I44" s="74">
        <f>IF($B$13=1,'Monthly Flow Demands'!I68,IF($B$13=2,'Monthly Flow Demands'!I44,IF($B$13=3,'Monthly Flow Demands'!I17,0)))</f>
        <v>50578.512396694212</v>
      </c>
      <c r="J44" s="74">
        <f>HydropowerData!W6</f>
        <v>51806.280991735541</v>
      </c>
      <c r="K44" s="87">
        <f t="shared" si="2"/>
        <v>51806.280991735541</v>
      </c>
      <c r="L44" s="74" t="str">
        <f t="shared" si="6"/>
        <v>Hydro</v>
      </c>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row>
    <row r="45" spans="1:148" s="2" customFormat="1" ht="15.75" x14ac:dyDescent="0.25">
      <c r="A45" s="70">
        <v>2</v>
      </c>
      <c r="B45" s="84">
        <v>18</v>
      </c>
      <c r="C45" s="74">
        <f>IF($B$13=1,WaterYears!I7,IF($B$13=2,WaterYears!I22,IF($B$13=3,WaterYears!I37,0)))</f>
        <v>658152.3966942149</v>
      </c>
      <c r="D45" s="118">
        <v>300000</v>
      </c>
      <c r="E45" s="72">
        <f t="shared" si="7"/>
        <v>2467717.3760330598</v>
      </c>
      <c r="F45" s="74" cm="1">
        <f t="array" ref="F45">LinInterp(E45,'FlamingGorge-Elevation-Area'!H22:H642,'FlamingGorge-Elevation-Area'!I22:I642)</f>
        <v>6004.5280374900767</v>
      </c>
      <c r="G45" s="5">
        <f t="shared" si="8"/>
        <v>0</v>
      </c>
      <c r="H45" s="5">
        <f t="shared" si="1"/>
        <v>0</v>
      </c>
      <c r="I45" s="43">
        <f>IF($B$15=1,'Monthly Flow Demands'!I69,IF($B$15=2,'Monthly Flow Demands'!I45,IF($B$15=3,'Monthly Flow Demands'!I18,0)))*C13</f>
        <v>473652.89256198402</v>
      </c>
      <c r="J45" s="74">
        <f>HydropowerData!W7</f>
        <v>124661.15702479339</v>
      </c>
      <c r="K45" s="87">
        <f t="shared" si="2"/>
        <v>473652.89256198402</v>
      </c>
      <c r="L45" s="74" t="str">
        <f t="shared" si="6"/>
        <v>B.F.</v>
      </c>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row>
    <row r="46" spans="1:148" s="2" customFormat="1" ht="15.75" x14ac:dyDescent="0.25">
      <c r="A46" s="70">
        <v>2</v>
      </c>
      <c r="B46" s="85">
        <v>19</v>
      </c>
      <c r="C46" s="74">
        <f>IF($B$13=1,WaterYears!I8,IF($B$13=2,WaterYears!I23,IF($B$13=3,WaterYears!I38,0)))</f>
        <v>366615.66942148778</v>
      </c>
      <c r="D46" s="118">
        <v>300000</v>
      </c>
      <c r="E46" s="72">
        <f t="shared" si="7"/>
        <v>2534333.0454545477</v>
      </c>
      <c r="F46" s="74" cm="1">
        <f t="array" ref="F46">LinInterp(E46,'FlamingGorge-Elevation-Area'!H23:H643,'FlamingGorge-Elevation-Area'!I23:I643)</f>
        <v>6006.6567637150856</v>
      </c>
      <c r="G46" s="5">
        <f t="shared" si="8"/>
        <v>0</v>
      </c>
      <c r="H46" s="5">
        <f t="shared" si="1"/>
        <v>0</v>
      </c>
      <c r="I46" s="74">
        <f>IF($B$13=1,'Monthly Flow Demands'!I70,IF($B$13=2,'Monthly Flow Demands'!I46,IF($B$13=3,'Monthly Flow Demands'!I19,0)))</f>
        <v>98380.165289256198</v>
      </c>
      <c r="J46" s="74">
        <f>HydropowerData!W8</f>
        <v>89708.42975206612</v>
      </c>
      <c r="K46" s="87">
        <f t="shared" si="2"/>
        <v>98380.165289256198</v>
      </c>
      <c r="L46" s="74" t="str">
        <f t="shared" si="6"/>
        <v>B.F.</v>
      </c>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row>
    <row r="47" spans="1:148" s="2" customFormat="1" ht="15.75" x14ac:dyDescent="0.25">
      <c r="A47" s="70">
        <v>2</v>
      </c>
      <c r="B47" s="85">
        <v>20</v>
      </c>
      <c r="C47" s="74">
        <f>IF($B$13=1,WaterYears!I9,IF($B$13=2,WaterYears!I24,IF($B$13=3,WaterYears!I39,0)))</f>
        <v>170992.66115702511</v>
      </c>
      <c r="D47" s="118">
        <v>300000</v>
      </c>
      <c r="E47" s="72">
        <f t="shared" si="7"/>
        <v>2405325.7066115728</v>
      </c>
      <c r="F47" s="74" cm="1">
        <f t="array" ref="F47">LinInterp(E47,'FlamingGorge-Elevation-Area'!H24:H644,'FlamingGorge-Elevation-Area'!I24:I644)</f>
        <v>6002.5009423775018</v>
      </c>
      <c r="G47" s="5">
        <f t="shared" si="8"/>
        <v>0</v>
      </c>
      <c r="H47" s="5">
        <f t="shared" si="1"/>
        <v>0</v>
      </c>
      <c r="I47" s="74">
        <f>IF($B$13=1,'Monthly Flow Demands'!I71,IF($B$13=2,'Monthly Flow Demands'!I47,IF($B$13=3,'Monthly Flow Demands'!I20,0)))</f>
        <v>98380.165289256198</v>
      </c>
      <c r="J47" s="74">
        <f>HydropowerData!W9</f>
        <v>108694.21487603306</v>
      </c>
      <c r="K47" s="87">
        <f t="shared" si="2"/>
        <v>108694.21487603306</v>
      </c>
      <c r="L47" s="74" t="str">
        <f t="shared" si="6"/>
        <v>Hydro</v>
      </c>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row>
    <row r="48" spans="1:148" s="2" customFormat="1" ht="15.75" x14ac:dyDescent="0.25">
      <c r="A48" s="70">
        <v>2</v>
      </c>
      <c r="B48" s="85">
        <v>21</v>
      </c>
      <c r="C48" s="74">
        <f>IF($B$13=1,WaterYears!I10,IF($B$13=2,WaterYears!I25,IF($B$13=3,WaterYears!I40,0)))</f>
        <v>83957.950413223152</v>
      </c>
      <c r="D48" s="118">
        <v>300000</v>
      </c>
      <c r="E48" s="72">
        <f t="shared" si="7"/>
        <v>2189283.6570247961</v>
      </c>
      <c r="F48" s="74" cm="1">
        <f t="array" ref="F48">LinInterp(E48,'FlamingGorge-Elevation-Area'!H25:H645,'FlamingGorge-Elevation-Area'!I25:I645)</f>
        <v>5995.2026358174389</v>
      </c>
      <c r="G48" s="5">
        <f t="shared" si="8"/>
        <v>0</v>
      </c>
      <c r="H48" s="5">
        <f t="shared" si="1"/>
        <v>0</v>
      </c>
      <c r="I48" s="74">
        <f>IF($B$13=1,'Monthly Flow Demands'!I72,IF($B$13=2,'Monthly Flow Demands'!I48,IF($B$13=3,'Monthly Flow Demands'!I21,0)))</f>
        <v>95206.611570247944</v>
      </c>
      <c r="J48" s="74">
        <f>HydropowerData!W10</f>
        <v>98433.719008264467</v>
      </c>
      <c r="K48" s="87">
        <f t="shared" si="2"/>
        <v>98433.719008264467</v>
      </c>
      <c r="L48" s="74" t="str">
        <f t="shared" si="6"/>
        <v>Hydro</v>
      </c>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row>
    <row r="49" spans="1:148" s="2" customFormat="1" ht="15.75" x14ac:dyDescent="0.25">
      <c r="A49" s="70">
        <v>2</v>
      </c>
      <c r="B49" s="7">
        <v>22</v>
      </c>
      <c r="C49" s="74">
        <f>IF($B$13=1,WaterYears!I11,IF($B$13=2,WaterYears!I26,IF($B$13=3,WaterYears!I41,0)))</f>
        <v>65591.801652892609</v>
      </c>
      <c r="D49" s="118">
        <v>300000</v>
      </c>
      <c r="E49" s="72">
        <f t="shared" si="7"/>
        <v>1954875.4586776886</v>
      </c>
      <c r="F49" s="74" cm="1">
        <f t="array" ref="F49">LinInterp(E49,'FlamingGorge-Elevation-Area'!H26:H646,'FlamingGorge-Elevation-Area'!I26:I646)</f>
        <v>5986.6979329584337</v>
      </c>
      <c r="G49" s="5">
        <f t="shared" si="8"/>
        <v>0</v>
      </c>
      <c r="H49" s="5">
        <f t="shared" si="1"/>
        <v>0</v>
      </c>
      <c r="I49" s="74">
        <f>IF($B$13=1,'Monthly Flow Demands'!I73,IF($B$13=2,'Monthly Flow Demands'!I49,IF($B$13=3,'Monthly Flow Demands'!I22,0)))</f>
        <v>52264.462809917357</v>
      </c>
      <c r="J49" s="74">
        <f>HydropowerData!W11</f>
        <v>63808.264462809915</v>
      </c>
      <c r="K49" s="87">
        <f t="shared" si="2"/>
        <v>63808.264462809915</v>
      </c>
      <c r="L49" s="74" t="str">
        <f t="shared" si="6"/>
        <v>Hydro</v>
      </c>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row>
    <row r="50" spans="1:148" s="2" customFormat="1" ht="15.75" x14ac:dyDescent="0.25">
      <c r="A50" s="70">
        <v>2</v>
      </c>
      <c r="B50" s="7">
        <v>23</v>
      </c>
      <c r="C50" s="74">
        <f>IF($B$13=1,WaterYears!I12,IF($B$13=2,WaterYears!I27,IF($B$13=3,WaterYears!I42,0)))</f>
        <v>72242.181818181853</v>
      </c>
      <c r="D50" s="118">
        <v>300000</v>
      </c>
      <c r="E50" s="72">
        <f t="shared" si="7"/>
        <v>1727117.6404958705</v>
      </c>
      <c r="F50" s="74" cm="1">
        <f t="array" ref="F50">LinInterp(E50,'FlamingGorge-Elevation-Area'!H27:H647,'FlamingGorge-Elevation-Area'!I27:I647)</f>
        <v>5977.7748048598323</v>
      </c>
      <c r="G50" s="5">
        <f t="shared" si="8"/>
        <v>0</v>
      </c>
      <c r="H50" s="5">
        <f t="shared" si="1"/>
        <v>0</v>
      </c>
      <c r="I50" s="74">
        <f>IF($B$13=1,'Monthly Flow Demands'!I74,IF($B$13=2,'Monthly Flow Demands'!I50,IF($B$13=3,'Monthly Flow Demands'!I23,0)))</f>
        <v>50578.512396694212</v>
      </c>
      <c r="J50" s="74">
        <f>HydropowerData!W12</f>
        <v>77208.595041322318</v>
      </c>
      <c r="K50" s="87">
        <f t="shared" si="2"/>
        <v>77208.595041322318</v>
      </c>
      <c r="L50" s="74" t="str">
        <f t="shared" si="6"/>
        <v>Hydro</v>
      </c>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row>
    <row r="51" spans="1:148" s="2" customFormat="1" ht="15.75" x14ac:dyDescent="0.25">
      <c r="A51" s="70">
        <v>2</v>
      </c>
      <c r="B51" s="7">
        <v>24</v>
      </c>
      <c r="C51" s="74">
        <f>IF($B$13=1,WaterYears!I13,IF($B$13=2,WaterYears!I28,IF($B$13=3,WaterYears!I43,0)))</f>
        <v>64218.446280991753</v>
      </c>
      <c r="D51" s="118">
        <v>300000</v>
      </c>
      <c r="E51" s="72">
        <f t="shared" si="7"/>
        <v>1491336.0867768622</v>
      </c>
      <c r="F51" s="74" cm="1">
        <f t="array" ref="F51">LinInterp(E51,'FlamingGorge-Elevation-Area'!H28:H648,'FlamingGorge-Elevation-Area'!I28:I648)</f>
        <v>5967.5719956605308</v>
      </c>
      <c r="G51" s="5">
        <f t="shared" si="8"/>
        <v>0</v>
      </c>
      <c r="H51" s="5">
        <f t="shared" si="1"/>
        <v>0</v>
      </c>
      <c r="I51" s="74">
        <f>IF($B$13=1,'Monthly Flow Demands'!I75,IF($B$13=2,'Monthly Flow Demands'!I51,IF($B$13=3,'Monthly Flow Demands'!I24,0)))</f>
        <v>61487.603305785124</v>
      </c>
      <c r="J51" s="74">
        <f>HydropowerData!W13</f>
        <v>105988.76033057852</v>
      </c>
      <c r="K51" s="87">
        <f t="shared" si="2"/>
        <v>105988.76033057852</v>
      </c>
      <c r="L51" s="74" t="str">
        <f t="shared" si="6"/>
        <v>Hydro</v>
      </c>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row>
    <row r="52" spans="1:148" s="1" customFormat="1" ht="15.75" x14ac:dyDescent="0.25">
      <c r="A52" s="69">
        <v>3</v>
      </c>
      <c r="B52" s="6">
        <v>25</v>
      </c>
      <c r="C52" s="73">
        <f>IF($B$14=1,WaterYears!I2,IF($B$14=2,WaterYears!I17,IF($B$14=3,WaterYears!I32,0)))</f>
        <v>54709.884297520672</v>
      </c>
      <c r="D52" s="118">
        <v>300000</v>
      </c>
      <c r="E52" s="71">
        <f t="shared" si="7"/>
        <v>1246045.9710743828</v>
      </c>
      <c r="F52" s="73" cm="1">
        <f t="array" ref="F52">LinInterp(E52,'FlamingGorge-Elevation-Area'!H29:H649,'FlamingGorge-Elevation-Area'!I29:I649)</f>
        <v>5955.7580470074372</v>
      </c>
      <c r="G52" s="4">
        <f t="shared" si="8"/>
        <v>0</v>
      </c>
      <c r="H52" s="4">
        <f t="shared" si="1"/>
        <v>0</v>
      </c>
      <c r="I52" s="73">
        <f>IF($B$14=1,'Monthly Flow Demands'!I64,IF($B$14=2,'Monthly Flow Demands'!I40,IF($B$14=3,'Monthly Flow Demands'!I13,0)))</f>
        <v>61487.603305785124</v>
      </c>
      <c r="J52" s="73">
        <f>HydropowerData!W2</f>
        <v>110062.80991735538</v>
      </c>
      <c r="K52" s="87">
        <f t="shared" si="2"/>
        <v>110062.80991735538</v>
      </c>
      <c r="L52" s="73" t="str">
        <f t="shared" si="6"/>
        <v>Hydro</v>
      </c>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row>
    <row r="53" spans="1:148" s="1" customFormat="1" ht="15.75" x14ac:dyDescent="0.25">
      <c r="A53" s="69">
        <v>3</v>
      </c>
      <c r="B53" s="6">
        <v>26</v>
      </c>
      <c r="C53" s="73">
        <f>IF($B$14=1,WaterYears!I3,IF($B$14=2,WaterYears!I18,IF($B$14=3,WaterYears!I33,0)))</f>
        <v>102194.57851239675</v>
      </c>
      <c r="D53" s="118">
        <v>300000</v>
      </c>
      <c r="E53" s="71">
        <f t="shared" si="7"/>
        <v>1048240.5495867794</v>
      </c>
      <c r="F53" s="73" cm="1">
        <f t="array" ref="F53">LinInterp(E53,'FlamingGorge-Elevation-Area'!H30:H650,'FlamingGorge-Elevation-Area'!I30:I650)</f>
        <v>5945.1023580624696</v>
      </c>
      <c r="G53" s="4">
        <f t="shared" si="8"/>
        <v>0</v>
      </c>
      <c r="H53" s="4">
        <f t="shared" si="1"/>
        <v>0</v>
      </c>
      <c r="I53" s="73">
        <f>IF($B$14=1,'Monthly Flow Demands'!I65,IF($B$14=2,'Monthly Flow Demands'!I41,IF($B$14=3,'Monthly Flow Demands'!I14,0)))</f>
        <v>55537.190082644622</v>
      </c>
      <c r="J53" s="73">
        <f>HydropowerData!W3</f>
        <v>108932.23140495867</v>
      </c>
      <c r="K53" s="87">
        <f t="shared" si="2"/>
        <v>108932.23140495867</v>
      </c>
      <c r="L53" s="73" t="str">
        <f t="shared" si="6"/>
        <v>Hydro</v>
      </c>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row>
    <row r="54" spans="1:148" s="1" customFormat="1" ht="15.75" x14ac:dyDescent="0.25">
      <c r="A54" s="69">
        <v>3</v>
      </c>
      <c r="B54" s="6">
        <v>27</v>
      </c>
      <c r="C54" s="73">
        <f>IF($B$14=1,WaterYears!I4,IF($B$14=2,WaterYears!I19,IF($B$14=3,WaterYears!I34,0)))</f>
        <v>310868.62809917401</v>
      </c>
      <c r="D54" s="118">
        <v>300000</v>
      </c>
      <c r="E54" s="71">
        <f t="shared" si="7"/>
        <v>1059109.1776859534</v>
      </c>
      <c r="F54" s="73" cm="1">
        <f t="array" ref="F54">LinInterp(E54,'FlamingGorge-Elevation-Area'!H31:H651,'FlamingGorge-Elevation-Area'!I31:I651)</f>
        <v>5945.7223238641945</v>
      </c>
      <c r="G54" s="4">
        <f t="shared" si="8"/>
        <v>0</v>
      </c>
      <c r="H54" s="4">
        <f t="shared" si="1"/>
        <v>0</v>
      </c>
      <c r="I54" s="73">
        <f>IF($B$14=1,'Monthly Flow Demands'!I66,IF($B$14=2,'Monthly Flow Demands'!I42,IF($B$14=3,'Monthly Flow Demands'!I15,0)))</f>
        <v>49190.082644628099</v>
      </c>
      <c r="J54" s="73">
        <f>HydropowerData!W4</f>
        <v>50745.123966942148</v>
      </c>
      <c r="K54" s="87">
        <f t="shared" si="2"/>
        <v>50745.123966942148</v>
      </c>
      <c r="L54" s="73" t="str">
        <f t="shared" si="6"/>
        <v>Hydro</v>
      </c>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row>
    <row r="55" spans="1:148" s="1" customFormat="1" ht="15.75" x14ac:dyDescent="0.25">
      <c r="A55" s="69">
        <v>3</v>
      </c>
      <c r="B55" s="6">
        <v>28</v>
      </c>
      <c r="C55" s="73">
        <f>IF($B$14=1,WaterYears!I5,IF($B$14=2,WaterYears!I20,IF($B$14=3,WaterYears!I35,0)))</f>
        <v>412552.06611570274</v>
      </c>
      <c r="D55" s="118">
        <v>300000</v>
      </c>
      <c r="E55" s="71">
        <f t="shared" si="7"/>
        <v>1171661.2438016562</v>
      </c>
      <c r="F55" s="73" cm="1">
        <f t="array" ref="F55">LinInterp(E55,'FlamingGorge-Elevation-Area'!H32:H652,'FlamingGorge-Elevation-Area'!I32:I652)</f>
        <v>5951.8924198519944</v>
      </c>
      <c r="G55" s="4">
        <f t="shared" si="8"/>
        <v>0</v>
      </c>
      <c r="H55" s="4">
        <f t="shared" si="1"/>
        <v>0</v>
      </c>
      <c r="I55" s="73">
        <f>IF($B$14=1,'Monthly Flow Demands'!I67,IF($B$14=2,'Monthly Flow Demands'!I43,IF($B$14=3,'Monthly Flow Demands'!I16,0)))</f>
        <v>47603.305785123972</v>
      </c>
      <c r="J55" s="73">
        <f>HydropowerData!W5</f>
        <v>49731.570247933887</v>
      </c>
      <c r="K55" s="87">
        <f t="shared" si="2"/>
        <v>49731.570247933887</v>
      </c>
      <c r="L55" s="73" t="str">
        <f t="shared" si="6"/>
        <v>Hydro</v>
      </c>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row>
    <row r="56" spans="1:148" s="1" customFormat="1" ht="15.75" x14ac:dyDescent="0.25">
      <c r="A56" s="69">
        <v>3</v>
      </c>
      <c r="B56" s="6">
        <v>29</v>
      </c>
      <c r="C56" s="73">
        <f>IF($B$14=1,WaterYears!I6,IF($B$14=2,WaterYears!I21,IF($B$14=3,WaterYears!I36,0)))</f>
        <v>552063.4710743801</v>
      </c>
      <c r="D56" s="118">
        <v>300000</v>
      </c>
      <c r="E56" s="71">
        <f t="shared" si="7"/>
        <v>1423724.7148760362</v>
      </c>
      <c r="F56" s="73" cm="1">
        <f t="array" ref="F56">LinInterp(E56,'FlamingGorge-Elevation-Area'!H33:H653,'FlamingGorge-Elevation-Area'!I33:I653)</f>
        <v>5964.4426492452694</v>
      </c>
      <c r="G56" s="4">
        <f t="shared" si="8"/>
        <v>0</v>
      </c>
      <c r="H56" s="4">
        <f t="shared" si="1"/>
        <v>0</v>
      </c>
      <c r="I56" s="73">
        <f>IF($B$14=1,'Monthly Flow Demands'!I68,IF($B$14=2,'Monthly Flow Demands'!I44,IF($B$14=3,'Monthly Flow Demands'!I17,0)))</f>
        <v>50578.512396694212</v>
      </c>
      <c r="J56" s="73">
        <f>HydropowerData!W6</f>
        <v>51806.280991735541</v>
      </c>
      <c r="K56" s="87">
        <f t="shared" si="2"/>
        <v>51806.280991735541</v>
      </c>
      <c r="L56" s="73" t="str">
        <f t="shared" si="6"/>
        <v>Hydro</v>
      </c>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row>
    <row r="57" spans="1:148" s="1" customFormat="1" ht="15.75" x14ac:dyDescent="0.25">
      <c r="A57" s="69">
        <v>3</v>
      </c>
      <c r="B57" s="84">
        <v>30</v>
      </c>
      <c r="C57" s="73">
        <f>IF($B$14=1,WaterYears!I7,IF($B$14=2,WaterYears!I22,IF($B$14=3,WaterYears!I37,0)))</f>
        <v>658152.3966942149</v>
      </c>
      <c r="D57" s="118">
        <v>300000</v>
      </c>
      <c r="E57" s="71">
        <f t="shared" si="7"/>
        <v>1781877.1115702512</v>
      </c>
      <c r="F57" s="73" cm="1">
        <f t="array" ref="F57">LinInterp(E57,'FlamingGorge-Elevation-Area'!H34:H654,'FlamingGorge-Elevation-Area'!I34:I654)</f>
        <v>5979.9890686079189</v>
      </c>
      <c r="G57" s="4">
        <f t="shared" si="8"/>
        <v>0</v>
      </c>
      <c r="H57" s="4">
        <f t="shared" si="1"/>
        <v>0</v>
      </c>
      <c r="I57" s="43">
        <f>IF($B$15=1,'Monthly Flow Demands'!I69,IF($B$15=2,'Monthly Flow Demands'!I45,IF($B$15=3,'Monthly Flow Demands'!I18,0)))*C14</f>
        <v>473652.89256198402</v>
      </c>
      <c r="J57" s="73">
        <f>HydropowerData!W7</f>
        <v>124661.15702479339</v>
      </c>
      <c r="K57" s="87">
        <f t="shared" si="2"/>
        <v>473652.89256198402</v>
      </c>
      <c r="L57" s="73" t="str">
        <f t="shared" si="6"/>
        <v>B.F.</v>
      </c>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row>
    <row r="58" spans="1:148" s="1" customFormat="1" ht="15.75" x14ac:dyDescent="0.25">
      <c r="A58" s="69">
        <v>3</v>
      </c>
      <c r="B58" s="86">
        <v>31</v>
      </c>
      <c r="C58" s="73">
        <f>IF($B$14=1,WaterYears!I8,IF($B$14=2,WaterYears!I23,IF($B$14=3,WaterYears!I38,0)))</f>
        <v>366615.66942148778</v>
      </c>
      <c r="D58" s="118">
        <v>300000</v>
      </c>
      <c r="E58" s="71">
        <f t="shared" si="7"/>
        <v>1848492.7809917391</v>
      </c>
      <c r="F58" s="73" cm="1">
        <f t="array" ref="F58">LinInterp(E58,'FlamingGorge-Elevation-Area'!H35:H655,'FlamingGorge-Elevation-Area'!I35:I655)</f>
        <v>5982.6193509538134</v>
      </c>
      <c r="G58" s="4">
        <f t="shared" si="8"/>
        <v>0</v>
      </c>
      <c r="H58" s="4">
        <f t="shared" si="1"/>
        <v>0</v>
      </c>
      <c r="I58" s="73">
        <f>IF($B$14=1,'Monthly Flow Demands'!I70,IF($B$14=2,'Monthly Flow Demands'!I46,IF($B$14=3,'Monthly Flow Demands'!I19,0)))</f>
        <v>98380.165289256198</v>
      </c>
      <c r="J58" s="73">
        <f>HydropowerData!W8</f>
        <v>89708.42975206612</v>
      </c>
      <c r="K58" s="87">
        <f t="shared" si="2"/>
        <v>98380.165289256198</v>
      </c>
      <c r="L58" s="73" t="str">
        <f t="shared" si="6"/>
        <v>B.F.</v>
      </c>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row>
    <row r="59" spans="1:148" s="1" customFormat="1" ht="15.75" x14ac:dyDescent="0.25">
      <c r="A59" s="69">
        <v>3</v>
      </c>
      <c r="B59" s="86">
        <v>32</v>
      </c>
      <c r="C59" s="73">
        <f>IF($B$14=1,WaterYears!I9,IF($B$14=2,WaterYears!I24,IF($B$14=3,WaterYears!I39,0)))</f>
        <v>170992.66115702511</v>
      </c>
      <c r="D59" s="118">
        <v>300000</v>
      </c>
      <c r="E59" s="71">
        <f t="shared" si="7"/>
        <v>1719485.4421487642</v>
      </c>
      <c r="F59" s="73" cm="1">
        <f t="array" ref="F59">LinInterp(E59,'FlamingGorge-Elevation-Area'!H36:H656,'FlamingGorge-Elevation-Area'!I36:I656)</f>
        <v>5977.4622370259303</v>
      </c>
      <c r="G59" s="4">
        <f t="shared" si="8"/>
        <v>0</v>
      </c>
      <c r="H59" s="4">
        <f t="shared" si="1"/>
        <v>0</v>
      </c>
      <c r="I59" s="73">
        <f>IF($B$14=1,'Monthly Flow Demands'!I71,IF($B$14=2,'Monthly Flow Demands'!I47,IF($B$14=3,'Monthly Flow Demands'!I20,0)))</f>
        <v>98380.165289256198</v>
      </c>
      <c r="J59" s="73">
        <f>HydropowerData!W9</f>
        <v>108694.21487603306</v>
      </c>
      <c r="K59" s="87">
        <f t="shared" si="2"/>
        <v>108694.21487603306</v>
      </c>
      <c r="L59" s="73" t="str">
        <f t="shared" si="6"/>
        <v>Hydro</v>
      </c>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row>
    <row r="60" spans="1:148" s="1" customFormat="1" ht="15.75" x14ac:dyDescent="0.25">
      <c r="A60" s="69">
        <v>3</v>
      </c>
      <c r="B60" s="86">
        <v>33</v>
      </c>
      <c r="C60" s="73">
        <f>IF($B$14=1,WaterYears!I10,IF($B$14=2,WaterYears!I25,IF($B$14=3,WaterYears!I40,0)))</f>
        <v>83957.950413223152</v>
      </c>
      <c r="D60" s="118">
        <v>300000</v>
      </c>
      <c r="E60" s="71">
        <f t="shared" si="7"/>
        <v>1503443.3925619873</v>
      </c>
      <c r="F60" s="73" cm="1">
        <f t="array" ref="F60">LinInterp(E60,'FlamingGorge-Elevation-Area'!H37:H657,'FlamingGorge-Elevation-Area'!I37:I657)</f>
        <v>5968.1232001343888</v>
      </c>
      <c r="G60" s="4">
        <f t="shared" si="8"/>
        <v>0</v>
      </c>
      <c r="H60" s="4">
        <f t="shared" si="1"/>
        <v>0</v>
      </c>
      <c r="I60" s="73">
        <f>IF($B$14=1,'Monthly Flow Demands'!I72,IF($B$14=2,'Monthly Flow Demands'!I48,IF($B$14=3,'Monthly Flow Demands'!I21,0)))</f>
        <v>95206.611570247944</v>
      </c>
      <c r="J60" s="73">
        <f>HydropowerData!W10</f>
        <v>98433.719008264467</v>
      </c>
      <c r="K60" s="87">
        <f t="shared" si="2"/>
        <v>98433.719008264467</v>
      </c>
      <c r="L60" s="73" t="str">
        <f t="shared" si="6"/>
        <v>Hydro</v>
      </c>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row>
    <row r="61" spans="1:148" s="1" customFormat="1" ht="15.75" x14ac:dyDescent="0.25">
      <c r="A61" s="69">
        <v>3</v>
      </c>
      <c r="B61" s="6">
        <v>34</v>
      </c>
      <c r="C61" s="73">
        <f>IF($B$14=1,WaterYears!I11,IF($B$14=2,WaterYears!I26,IF($B$14=3,WaterYears!I41,0)))</f>
        <v>65591.801652892609</v>
      </c>
      <c r="D61" s="118">
        <v>300000</v>
      </c>
      <c r="E61" s="71">
        <f t="shared" si="7"/>
        <v>1269035.19421488</v>
      </c>
      <c r="F61" s="73" cm="1">
        <f t="array" ref="F61">LinInterp(E61,'FlamingGorge-Elevation-Area'!H38:H658,'FlamingGorge-Elevation-Area'!I38:I658)</f>
        <v>5956.9233799043332</v>
      </c>
      <c r="G61" s="4">
        <f t="shared" si="8"/>
        <v>0</v>
      </c>
      <c r="H61" s="4">
        <f t="shared" si="1"/>
        <v>0</v>
      </c>
      <c r="I61" s="73">
        <f>IF($B$14=1,'Monthly Flow Demands'!I73,IF($B$14=2,'Monthly Flow Demands'!I49,IF($B$14=3,'Monthly Flow Demands'!I22,0)))</f>
        <v>52264.462809917357</v>
      </c>
      <c r="J61" s="73">
        <f>HydropowerData!W11</f>
        <v>63808.264462809915</v>
      </c>
      <c r="K61" s="87">
        <f t="shared" si="2"/>
        <v>63808.264462809915</v>
      </c>
      <c r="L61" s="73" t="str">
        <f t="shared" si="6"/>
        <v>Hydro</v>
      </c>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row>
    <row r="62" spans="1:148" s="1" customFormat="1" ht="15.75" x14ac:dyDescent="0.25">
      <c r="A62" s="69">
        <v>3</v>
      </c>
      <c r="B62" s="6">
        <v>35</v>
      </c>
      <c r="C62" s="73">
        <f>IF($B$14=1,WaterYears!I12,IF($B$14=2,WaterYears!I27,IF($B$14=3,WaterYears!I42,0)))</f>
        <v>72242.181818181853</v>
      </c>
      <c r="D62" s="118">
        <v>300000</v>
      </c>
      <c r="E62" s="71">
        <f t="shared" si="7"/>
        <v>1041277.3760330619</v>
      </c>
      <c r="F62" s="73" cm="1">
        <f t="array" ref="F62">LinInterp(E62,'FlamingGorge-Elevation-Area'!H39:H659,'FlamingGorge-Elevation-Area'!I39:I659)</f>
        <v>5944.7025004907728</v>
      </c>
      <c r="G62" s="4">
        <f t="shared" si="8"/>
        <v>0</v>
      </c>
      <c r="H62" s="4">
        <f t="shared" si="1"/>
        <v>0</v>
      </c>
      <c r="I62" s="73">
        <f>IF($B$14=1,'Monthly Flow Demands'!I74,IF($B$14=2,'Monthly Flow Demands'!I50,IF($B$14=3,'Monthly Flow Demands'!I23,0)))</f>
        <v>50578.512396694212</v>
      </c>
      <c r="J62" s="73">
        <f>HydropowerData!W12</f>
        <v>77208.595041322318</v>
      </c>
      <c r="K62" s="87">
        <f t="shared" si="2"/>
        <v>77208.595041322318</v>
      </c>
      <c r="L62" s="73" t="str">
        <f t="shared" si="6"/>
        <v>Hydro</v>
      </c>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row>
    <row r="63" spans="1:148" s="1" customFormat="1" ht="16.899999999999999" customHeight="1" x14ac:dyDescent="0.25">
      <c r="A63" s="69">
        <v>3</v>
      </c>
      <c r="B63" s="6">
        <v>36</v>
      </c>
      <c r="C63" s="73">
        <f>IF($B$14=1,WaterYears!I13,IF($B$14=2,WaterYears!I28,IF($B$14=3,WaterYears!I43,0)))</f>
        <v>64218.446280991753</v>
      </c>
      <c r="D63" s="118">
        <v>300000</v>
      </c>
      <c r="E63" s="71">
        <f t="shared" si="7"/>
        <v>805495.82231405354</v>
      </c>
      <c r="F63" s="73" cm="1">
        <f t="array" ref="F63">LinInterp(E63,'FlamingGorge-Elevation-Area'!H40:H660,'FlamingGorge-Elevation-Area'!I40:I660)</f>
        <v>5929.7635821895365</v>
      </c>
      <c r="G63" s="4">
        <f t="shared" si="8"/>
        <v>0</v>
      </c>
      <c r="H63" s="4">
        <f t="shared" si="1"/>
        <v>0</v>
      </c>
      <c r="I63" s="73">
        <f>IF($B$14=1,'Monthly Flow Demands'!I75,IF($B$14=2,'Monthly Flow Demands'!I51,IF($B$14=3,'Monthly Flow Demands'!I24,0)))</f>
        <v>61487.603305785124</v>
      </c>
      <c r="J63" s="73">
        <f>HydropowerData!W13</f>
        <v>105988.76033057852</v>
      </c>
      <c r="K63" s="87">
        <f t="shared" si="2"/>
        <v>105988.76033057852</v>
      </c>
      <c r="L63" s="73" t="str">
        <f t="shared" si="6"/>
        <v>Hydro</v>
      </c>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row>
    <row r="64" spans="1:148" s="2" customFormat="1" ht="15.75" x14ac:dyDescent="0.25">
      <c r="A64" s="70">
        <v>4</v>
      </c>
      <c r="B64" s="7">
        <v>37</v>
      </c>
      <c r="C64" s="74">
        <f>IF($B$15=1,WaterYears!I2,IF($B$15=2,WaterYears!I17,IF($B$15=3,WaterYears!I32,0)))</f>
        <v>54709.884297520672</v>
      </c>
      <c r="D64" s="118">
        <v>300000</v>
      </c>
      <c r="E64" s="72">
        <f t="shared" si="7"/>
        <v>560205.70661157416</v>
      </c>
      <c r="F64" s="74" cm="1">
        <f t="array" ref="F64">LinInterp(E64,'FlamingGorge-Elevation-Area'!H41:H661,'FlamingGorge-Elevation-Area'!I41:I661)</f>
        <v>5910.3053005139791</v>
      </c>
      <c r="G64" s="5">
        <f t="shared" si="8"/>
        <v>0</v>
      </c>
      <c r="H64" s="5">
        <f t="shared" si="1"/>
        <v>0</v>
      </c>
      <c r="I64" s="74">
        <f>IF($B$15=1,'Monthly Flow Demands'!I64,IF($B$15=2,'Monthly Flow Demands'!I40,IF($B$15=3,'Monthly Flow Demands'!I13,0)))</f>
        <v>61487.603305785124</v>
      </c>
      <c r="J64" s="74">
        <f>HydropowerData!W2</f>
        <v>110062.80991735538</v>
      </c>
      <c r="K64" s="87">
        <f t="shared" si="2"/>
        <v>110062.80991735538</v>
      </c>
      <c r="L64" s="74" t="str">
        <f t="shared" si="6"/>
        <v>Hydro</v>
      </c>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row>
    <row r="65" spans="1:148" s="2" customFormat="1" ht="15.75" x14ac:dyDescent="0.25">
      <c r="A65" s="70">
        <v>4</v>
      </c>
      <c r="B65" s="7">
        <v>38</v>
      </c>
      <c r="C65" s="74">
        <f>IF($B$15=1,WaterYears!I3,IF($B$15=2,WaterYears!I18,IF($B$15=3,WaterYears!I33,0)))</f>
        <v>102194.57851239675</v>
      </c>
      <c r="D65" s="118">
        <v>300000</v>
      </c>
      <c r="E65" s="72">
        <f t="shared" si="7"/>
        <v>362400.28512397094</v>
      </c>
      <c r="F65" s="74" cm="1">
        <f t="array" ref="F65">LinInterp(E65,'FlamingGorge-Elevation-Area'!H42:H662,'FlamingGorge-Elevation-Area'!I42:I662)</f>
        <v>5889.6646416906788</v>
      </c>
      <c r="G65" s="5">
        <f t="shared" si="8"/>
        <v>1</v>
      </c>
      <c r="H65" s="5">
        <f t="shared" si="1"/>
        <v>0</v>
      </c>
      <c r="I65" s="74">
        <f>IF($B$15=1,'Monthly Flow Demands'!I65,IF($B$15=2,'Monthly Flow Demands'!I41,IF($B$15=3,'Monthly Flow Demands'!I14,0)))</f>
        <v>55537.190082644622</v>
      </c>
      <c r="J65" s="74">
        <f>HydropowerData!W3</f>
        <v>108932.23140495867</v>
      </c>
      <c r="K65" s="87">
        <f t="shared" si="2"/>
        <v>108932.23140495867</v>
      </c>
      <c r="L65" s="74" t="str">
        <f t="shared" si="6"/>
        <v>Hydro</v>
      </c>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row>
    <row r="66" spans="1:148" s="2" customFormat="1" ht="15.75" x14ac:dyDescent="0.25">
      <c r="A66" s="70">
        <v>4</v>
      </c>
      <c r="B66" s="7">
        <v>39</v>
      </c>
      <c r="C66" s="74">
        <f>IF($B$15=1,WaterYears!I4,IF($B$15=2,WaterYears!I19,IF($B$15=3,WaterYears!I34,0)))</f>
        <v>310868.62809917401</v>
      </c>
      <c r="D66" s="118">
        <v>300000</v>
      </c>
      <c r="E66" s="72">
        <f t="shared" si="7"/>
        <v>373268.91322314495</v>
      </c>
      <c r="F66" s="74" cm="1">
        <f t="array" ref="F66">LinInterp(E66,'FlamingGorge-Elevation-Area'!H43:H663,'FlamingGorge-Elevation-Area'!I43:I663)</f>
        <v>5891.0017436208327</v>
      </c>
      <c r="G66" s="5">
        <f t="shared" si="8"/>
        <v>1</v>
      </c>
      <c r="H66" s="5">
        <f t="shared" si="1"/>
        <v>0</v>
      </c>
      <c r="I66" s="74">
        <f>IF($B$15=1,'Monthly Flow Demands'!I66,IF($B$15=2,'Monthly Flow Demands'!I42,IF($B$15=3,'Monthly Flow Demands'!I15,0)))</f>
        <v>49190.082644628099</v>
      </c>
      <c r="J66" s="74">
        <f>HydropowerData!W4</f>
        <v>50745.123966942148</v>
      </c>
      <c r="K66" s="87">
        <f t="shared" si="2"/>
        <v>50745.123966942148</v>
      </c>
      <c r="L66" s="74" t="str">
        <f t="shared" si="6"/>
        <v>Hydro</v>
      </c>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row>
    <row r="67" spans="1:148" s="2" customFormat="1" ht="15.75" x14ac:dyDescent="0.25">
      <c r="A67" s="70">
        <v>4</v>
      </c>
      <c r="B67" s="7">
        <v>40</v>
      </c>
      <c r="C67" s="74">
        <f>IF($B$15=1,WaterYears!I5,IF($B$15=2,WaterYears!I20,IF($B$15=3,WaterYears!I35,0)))</f>
        <v>412552.06611570274</v>
      </c>
      <c r="D67" s="118">
        <v>300000</v>
      </c>
      <c r="E67" s="72">
        <f t="shared" si="7"/>
        <v>485820.97933884768</v>
      </c>
      <c r="F67" s="74" cm="1">
        <f t="array" ref="F67">LinInterp(E67,'FlamingGorge-Elevation-Area'!H44:H664,'FlamingGorge-Elevation-Area'!I44:I664)</f>
        <v>5903.3041048564637</v>
      </c>
      <c r="G67" s="5">
        <f t="shared" si="8"/>
        <v>1</v>
      </c>
      <c r="H67" s="5">
        <f t="shared" si="1"/>
        <v>0</v>
      </c>
      <c r="I67" s="74">
        <f>IF($B$15=1,'Monthly Flow Demands'!I67,IF($B$15=2,'Monthly Flow Demands'!I43,IF($B$15=3,'Monthly Flow Demands'!I16,0)))</f>
        <v>47603.305785123972</v>
      </c>
      <c r="J67" s="74">
        <f>HydropowerData!W5</f>
        <v>49731.570247933887</v>
      </c>
      <c r="K67" s="87">
        <f t="shared" si="2"/>
        <v>49731.570247933887</v>
      </c>
      <c r="L67" s="74" t="str">
        <f t="shared" si="6"/>
        <v>Hydro</v>
      </c>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row>
    <row r="68" spans="1:148" s="2" customFormat="1" ht="15.75" x14ac:dyDescent="0.25">
      <c r="A68" s="70">
        <v>4</v>
      </c>
      <c r="B68" s="7">
        <v>41</v>
      </c>
      <c r="C68" s="74">
        <f>IF($B$15=1,WaterYears!I6,IF($B$15=2,WaterYears!I21,IF($B$15=3,WaterYears!I36,0)))</f>
        <v>552063.4710743801</v>
      </c>
      <c r="D68" s="118">
        <v>300000</v>
      </c>
      <c r="E68" s="72">
        <f t="shared" si="7"/>
        <v>737884.45041322778</v>
      </c>
      <c r="F68" s="74" cm="1">
        <f t="array" ref="F68">LinInterp(E68,'FlamingGorge-Elevation-Area'!H45:H665,'FlamingGorge-Elevation-Area'!I45:I665)</f>
        <v>5924.8545042484147</v>
      </c>
      <c r="G68" s="5">
        <f t="shared" si="8"/>
        <v>0</v>
      </c>
      <c r="H68" s="5">
        <f t="shared" si="1"/>
        <v>0</v>
      </c>
      <c r="I68" s="74">
        <f>IF($B$15=1,'Monthly Flow Demands'!I68,IF($B$15=2,'Monthly Flow Demands'!I44,IF($B$15=3,'Monthly Flow Demands'!I17,0)))</f>
        <v>50578.512396694212</v>
      </c>
      <c r="J68" s="74">
        <f>HydropowerData!W6</f>
        <v>51806.280991735541</v>
      </c>
      <c r="K68" s="87">
        <f t="shared" si="2"/>
        <v>51806.280991735541</v>
      </c>
      <c r="L68" s="74" t="str">
        <f t="shared" si="6"/>
        <v>Hydro</v>
      </c>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row>
    <row r="69" spans="1:148" s="2" customFormat="1" ht="15.75" x14ac:dyDescent="0.25">
      <c r="A69" s="70">
        <v>4</v>
      </c>
      <c r="B69" s="84">
        <v>42</v>
      </c>
      <c r="C69" s="74">
        <f>IF($B$15=1,WaterYears!I7,IF($B$15=2,WaterYears!I22,IF($B$15=3,WaterYears!I37,0)))</f>
        <v>658152.3966942149</v>
      </c>
      <c r="D69" s="118">
        <v>300000</v>
      </c>
      <c r="E69" s="72">
        <f t="shared" si="7"/>
        <v>1096036.8471074426</v>
      </c>
      <c r="F69" s="74" cm="1">
        <f t="array" ref="F69">LinInterp(E69,'FlamingGorge-Elevation-Area'!H46:H666,'FlamingGorge-Elevation-Area'!I46:I666)</f>
        <v>5947.7954195809489</v>
      </c>
      <c r="G69" s="5">
        <f t="shared" si="8"/>
        <v>0</v>
      </c>
      <c r="H69" s="5">
        <f t="shared" si="1"/>
        <v>0</v>
      </c>
      <c r="I69" s="43">
        <f>IF($B$15=1,'Monthly Flow Demands'!I69,IF($B$15=2,'Monthly Flow Demands'!I45,IF($B$15=3,'Monthly Flow Demands'!I18,0)))*C15</f>
        <v>473652.89256198402</v>
      </c>
      <c r="J69" s="74">
        <f>HydropowerData!W7</f>
        <v>124661.15702479339</v>
      </c>
      <c r="K69" s="87">
        <f t="shared" si="2"/>
        <v>473652.89256198402</v>
      </c>
      <c r="L69" s="74" t="str">
        <f t="shared" si="6"/>
        <v>B.F.</v>
      </c>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row>
    <row r="70" spans="1:148" s="2" customFormat="1" ht="15.75" x14ac:dyDescent="0.25">
      <c r="A70" s="70">
        <v>4</v>
      </c>
      <c r="B70" s="86">
        <v>43</v>
      </c>
      <c r="C70" s="74">
        <f>IF($B$15=1,WaterYears!I8,IF($B$15=2,WaterYears!I23,IF($B$15=3,WaterYears!I38,0)))</f>
        <v>366615.66942148778</v>
      </c>
      <c r="D70" s="118">
        <v>300000</v>
      </c>
      <c r="E70" s="72">
        <f t="shared" si="7"/>
        <v>1162652.5165289303</v>
      </c>
      <c r="F70" s="74" cm="1">
        <f t="array" ref="F70">LinInterp(E70,'FlamingGorge-Elevation-Area'!H47:H667,'FlamingGorge-Elevation-Area'!I47:I667)</f>
        <v>5951.413793065436</v>
      </c>
      <c r="G70" s="5">
        <f t="shared" si="8"/>
        <v>0</v>
      </c>
      <c r="H70" s="5">
        <f t="shared" si="1"/>
        <v>0</v>
      </c>
      <c r="I70" s="74">
        <f>IF($B$15=1,'Monthly Flow Demands'!I70,IF($B$15=2,'Monthly Flow Demands'!I46,IF($B$15=3,'Monthly Flow Demands'!I19,0)))</f>
        <v>98380.165289256198</v>
      </c>
      <c r="J70" s="74">
        <f>HydropowerData!W8</f>
        <v>89708.42975206612</v>
      </c>
      <c r="K70" s="87">
        <f t="shared" si="2"/>
        <v>98380.165289256198</v>
      </c>
      <c r="L70" s="74" t="str">
        <f t="shared" si="6"/>
        <v>B.F.</v>
      </c>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row>
    <row r="71" spans="1:148" s="2" customFormat="1" ht="15.75" x14ac:dyDescent="0.25">
      <c r="A71" s="70">
        <v>4</v>
      </c>
      <c r="B71" s="86">
        <v>44</v>
      </c>
      <c r="C71" s="74">
        <f>IF($B$15=1,WaterYears!I9,IF($B$15=2,WaterYears!I24,IF($B$15=3,WaterYears!I39,0)))</f>
        <v>170992.66115702511</v>
      </c>
      <c r="D71" s="118">
        <v>300000</v>
      </c>
      <c r="E71" s="72">
        <f t="shared" si="7"/>
        <v>1033645.1776859553</v>
      </c>
      <c r="F71" s="74" cm="1">
        <f t="array" ref="F71">LinInterp(E71,'FlamingGorge-Elevation-Area'!H48:H668,'FlamingGorge-Elevation-Area'!I48:I668)</f>
        <v>5944.2620900229131</v>
      </c>
      <c r="G71" s="5">
        <f t="shared" si="8"/>
        <v>0</v>
      </c>
      <c r="H71" s="5">
        <f t="shared" si="1"/>
        <v>0</v>
      </c>
      <c r="I71" s="74">
        <f>IF($B$15=1,'Monthly Flow Demands'!I71,IF($B$15=2,'Monthly Flow Demands'!I47,IF($B$15=3,'Monthly Flow Demands'!I20,0)))</f>
        <v>98380.165289256198</v>
      </c>
      <c r="J71" s="74">
        <f>HydropowerData!W9</f>
        <v>108694.21487603306</v>
      </c>
      <c r="K71" s="87">
        <f t="shared" si="2"/>
        <v>108694.21487603306</v>
      </c>
      <c r="L71" s="74" t="str">
        <f t="shared" si="6"/>
        <v>Hydro</v>
      </c>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row>
    <row r="72" spans="1:148" s="2" customFormat="1" ht="15.75" x14ac:dyDescent="0.25">
      <c r="A72" s="70">
        <v>4</v>
      </c>
      <c r="B72" s="86">
        <v>45</v>
      </c>
      <c r="C72" s="74">
        <f>IF($B$15=1,WaterYears!I10,IF($B$15=2,WaterYears!I25,IF($B$15=3,WaterYears!I40,0)))</f>
        <v>83957.950413223152</v>
      </c>
      <c r="D72" s="118">
        <v>300000</v>
      </c>
      <c r="E72" s="72">
        <f t="shared" si="7"/>
        <v>817603.12809917843</v>
      </c>
      <c r="F72" s="74" cm="1">
        <f t="array" ref="F72">LinInterp(E72,'FlamingGorge-Elevation-Area'!H49:H669,'FlamingGorge-Elevation-Area'!I49:I669)</f>
        <v>5930.6119603383158</v>
      </c>
      <c r="G72" s="5">
        <f t="shared" si="8"/>
        <v>0</v>
      </c>
      <c r="H72" s="5">
        <f t="shared" si="1"/>
        <v>0</v>
      </c>
      <c r="I72" s="74">
        <f>IF($B$15=1,'Monthly Flow Demands'!I72,IF($B$15=2,'Monthly Flow Demands'!I48,IF($B$15=3,'Monthly Flow Demands'!I21,0)))</f>
        <v>95206.611570247944</v>
      </c>
      <c r="J72" s="74">
        <f>HydropowerData!W10</f>
        <v>98433.719008264467</v>
      </c>
      <c r="K72" s="87">
        <f t="shared" si="2"/>
        <v>98433.719008264467</v>
      </c>
      <c r="L72" s="74" t="str">
        <f t="shared" si="6"/>
        <v>Hydro</v>
      </c>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row>
    <row r="73" spans="1:148" s="2" customFormat="1" ht="15.75" x14ac:dyDescent="0.25">
      <c r="A73" s="70">
        <v>4</v>
      </c>
      <c r="B73" s="7">
        <v>46</v>
      </c>
      <c r="C73" s="74">
        <f>IF($B$15=1,WaterYears!I11,IF($B$15=2,WaterYears!I26,IF($B$15=3,WaterYears!I41,0)))</f>
        <v>65591.801652892609</v>
      </c>
      <c r="D73" s="118">
        <v>300000</v>
      </c>
      <c r="E73" s="72">
        <f t="shared" si="7"/>
        <v>583194.92975207104</v>
      </c>
      <c r="F73" s="74" cm="1">
        <f t="array" ref="F73">LinInterp(E73,'FlamingGorge-Elevation-Area'!H50:H670,'FlamingGorge-Elevation-Area'!I50:I670)</f>
        <v>5912.3386239144756</v>
      </c>
      <c r="G73" s="5">
        <f t="shared" si="8"/>
        <v>0</v>
      </c>
      <c r="H73" s="5">
        <f t="shared" si="1"/>
        <v>0</v>
      </c>
      <c r="I73" s="74">
        <f>IF($B$15=1,'Monthly Flow Demands'!I73,IF($B$15=2,'Monthly Flow Demands'!I49,IF($B$15=3,'Monthly Flow Demands'!I22,0)))</f>
        <v>52264.462809917357</v>
      </c>
      <c r="J73" s="74">
        <f>HydropowerData!W11</f>
        <v>63808.264462809915</v>
      </c>
      <c r="K73" s="87">
        <f t="shared" si="2"/>
        <v>63808.264462809915</v>
      </c>
      <c r="L73" s="74" t="str">
        <f t="shared" si="6"/>
        <v>Hydro</v>
      </c>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row>
    <row r="74" spans="1:148" s="2" customFormat="1" ht="15.75" x14ac:dyDescent="0.25">
      <c r="A74" s="70">
        <v>4</v>
      </c>
      <c r="B74" s="7">
        <v>47</v>
      </c>
      <c r="C74" s="74">
        <f>IF($B$15=1,WaterYears!I12,IF($B$15=2,WaterYears!I27,IF($B$15=3,WaterYears!I42,0)))</f>
        <v>72242.181818181853</v>
      </c>
      <c r="D74" s="118">
        <v>300000</v>
      </c>
      <c r="E74" s="72">
        <f t="shared" si="7"/>
        <v>355437.11157025292</v>
      </c>
      <c r="F74" s="74" cm="1">
        <f t="array" ref="F74">LinInterp(E74,'FlamingGorge-Elevation-Area'!H51:H671,'FlamingGorge-Elevation-Area'!I51:I671)</f>
        <v>5888.7929216074981</v>
      </c>
      <c r="G74" s="5">
        <f t="shared" si="8"/>
        <v>1</v>
      </c>
      <c r="H74" s="5">
        <f t="shared" si="1"/>
        <v>0</v>
      </c>
      <c r="I74" s="74">
        <f>IF($B$15=1,'Monthly Flow Demands'!I74,IF($B$15=2,'Monthly Flow Demands'!I50,IF($B$15=3,'Monthly Flow Demands'!I23,0)))</f>
        <v>50578.512396694212</v>
      </c>
      <c r="J74" s="74">
        <f>HydropowerData!W12</f>
        <v>77208.595041322318</v>
      </c>
      <c r="K74" s="87">
        <f t="shared" si="2"/>
        <v>77208.595041322318</v>
      </c>
      <c r="L74" s="74" t="str">
        <f t="shared" si="6"/>
        <v>Hydro</v>
      </c>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row>
    <row r="75" spans="1:148" s="2" customFormat="1" ht="15.75" x14ac:dyDescent="0.25">
      <c r="A75" s="120">
        <v>4</v>
      </c>
      <c r="B75" s="121">
        <v>48</v>
      </c>
      <c r="C75" s="122">
        <f>IF($B$15=1,WaterYears!I13,IF($B$15=2,WaterYears!I28,IF($B$15=3,WaterYears!I43,0)))</f>
        <v>64218.446280991753</v>
      </c>
      <c r="D75" s="118">
        <v>300000</v>
      </c>
      <c r="E75" s="123">
        <f t="shared" si="7"/>
        <v>119655.5578512447</v>
      </c>
      <c r="F75" s="122" cm="1">
        <f t="array" ref="F75">LinInterp(E75,'FlamingGorge-Elevation-Area'!H52:H672,'FlamingGorge-Elevation-Area'!I52:I672)</f>
        <v>5839.0605066457165</v>
      </c>
      <c r="G75" s="124">
        <f t="shared" si="8"/>
        <v>1</v>
      </c>
      <c r="H75" s="124">
        <f t="shared" si="1"/>
        <v>0</v>
      </c>
      <c r="I75" s="122">
        <f>IF($B$15=1,'Monthly Flow Demands'!I75,IF($B$15=2,'Monthly Flow Demands'!I51,IF($B$15=3,'Monthly Flow Demands'!I24,0)))</f>
        <v>61487.603305785124</v>
      </c>
      <c r="J75" s="122">
        <f>HydropowerData!W13</f>
        <v>105988.76033057852</v>
      </c>
      <c r="K75" s="136">
        <f t="shared" si="2"/>
        <v>105988.76033057852</v>
      </c>
      <c r="L75" s="74" t="str">
        <f t="shared" si="6"/>
        <v>Hydro</v>
      </c>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row>
    <row r="76" spans="1:148" s="129" customFormat="1" ht="15.75" x14ac:dyDescent="0.25">
      <c r="A76" s="125"/>
      <c r="B76" s="126"/>
      <c r="C76" s="127"/>
      <c r="D76" s="126"/>
      <c r="E76" s="128"/>
      <c r="F76" s="127"/>
      <c r="G76" s="126"/>
      <c r="H76" s="126"/>
      <c r="I76" s="127"/>
      <c r="J76" s="127"/>
      <c r="K76" s="127"/>
      <c r="L76" s="127"/>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row>
    <row r="77" spans="1:148" s="129" customFormat="1" ht="15.75" x14ac:dyDescent="0.25">
      <c r="A77" s="125"/>
      <c r="B77" s="126"/>
      <c r="C77"/>
      <c r="D77"/>
      <c r="E77" s="128"/>
      <c r="F77" s="127"/>
      <c r="I77" s="127"/>
      <c r="J77" s="127"/>
      <c r="K77" s="127"/>
      <c r="L77" s="12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row>
    <row r="78" spans="1:148" s="129" customFormat="1" ht="15.75" x14ac:dyDescent="0.25">
      <c r="A78" s="125"/>
      <c r="B78" s="126"/>
      <c r="C78"/>
      <c r="D78"/>
      <c r="E78" s="128"/>
      <c r="F78" s="127"/>
      <c r="I78" s="127"/>
      <c r="J78" s="127"/>
      <c r="K78" s="127"/>
      <c r="L78" s="127"/>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row>
    <row r="79" spans="1:148" s="129" customFormat="1" ht="15.75" x14ac:dyDescent="0.25">
      <c r="A79" s="125"/>
      <c r="B79" s="126"/>
      <c r="C79"/>
      <c r="D79"/>
      <c r="E79" s="128"/>
      <c r="F79" s="127"/>
      <c r="G79" s="126"/>
      <c r="H79" s="126"/>
      <c r="I79" s="127"/>
      <c r="J79" s="127"/>
      <c r="K79" s="127"/>
      <c r="L79" s="127"/>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row>
    <row r="80" spans="1:148" s="129" customFormat="1" x14ac:dyDescent="0.25">
      <c r="A80"/>
      <c r="B80"/>
      <c r="C80"/>
      <c r="D80"/>
      <c r="E80"/>
      <c r="F80"/>
      <c r="G80" s="126"/>
      <c r="H80" s="126"/>
      <c r="I80" s="127"/>
      <c r="J80" s="127"/>
      <c r="K80" s="127"/>
      <c r="L80" s="127"/>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row>
  </sheetData>
  <scenarios current="0">
    <scenario name="xx" count="24" user="Patrick Campana" comment="Created by Patrick Campana on 12/7/2020">
      <inputCells r="D28" val="156396.842610491"/>
      <inputCells r="D29" val="357664.77403258"/>
      <inputCells r="D30" val="477390.704632443"/>
      <inputCells r="D31" val="222962.038366228"/>
      <inputCells r="D32" val="248727.053760506"/>
      <inputCells r="D33" val="506941.449133556"/>
      <inputCells r="D34" val="454882.878751551"/>
      <inputCells r="D35" val="223341.400126966"/>
      <inputCells r="D36" val="103582.664377138"/>
      <inputCells r="D37" val="378674.913827944"/>
      <inputCells r="D38" val="269704.846739053"/>
      <inputCells r="D39" val="405123.198712766"/>
      <inputCells r="D40" val="351719.805437039"/>
      <inputCells r="D41" val="424294.736928371"/>
      <inputCells r="D42" val="295983.257682021"/>
      <inputCells r="D43" val="246641.36339708"/>
      <inputCells r="D44" val="163108.899794048"/>
      <inputCells r="D45" val="504106.375180696"/>
      <inputCells r="D46" val="227383.440573697"/>
      <inputCells r="D47" val="168906.488308197"/>
      <inputCells r="D48" val="454015.119205008"/>
      <inputCells r="D49" val="439141.560102646"/>
      <inputCells r="D50" val="244563.206859623"/>
      <inputCells r="D51" val="299632.819549945"/>
    </scenario>
  </scenarios>
  <mergeCells count="8">
    <mergeCell ref="G9:I10"/>
    <mergeCell ref="I16:K16"/>
    <mergeCell ref="A2:B2"/>
    <mergeCell ref="A3:B3"/>
    <mergeCell ref="A4:B4"/>
    <mergeCell ref="A5:B5"/>
    <mergeCell ref="A6:B6"/>
    <mergeCell ref="A9:E10"/>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4832C-34DD-49E1-8C33-60DF22516869}">
  <dimension ref="A1:L35"/>
  <sheetViews>
    <sheetView topLeftCell="A13" zoomScaleNormal="100" workbookViewId="0">
      <selection activeCell="F35" sqref="F35"/>
    </sheetView>
  </sheetViews>
  <sheetFormatPr defaultRowHeight="15" x14ac:dyDescent="0.25"/>
  <cols>
    <col min="1" max="1" width="10.85546875" customWidth="1"/>
    <col min="2" max="2" width="13.7109375" customWidth="1"/>
    <col min="3" max="3" width="14.140625" customWidth="1"/>
    <col min="9" max="9" width="12.28515625" customWidth="1"/>
  </cols>
  <sheetData>
    <row r="1" spans="1:9" x14ac:dyDescent="0.25">
      <c r="A1" t="s">
        <v>92</v>
      </c>
      <c r="D1" t="s">
        <v>93</v>
      </c>
    </row>
    <row r="5" spans="1:9" x14ac:dyDescent="0.25">
      <c r="A5" t="s">
        <v>94</v>
      </c>
      <c r="F5" s="102"/>
      <c r="I5" s="102"/>
    </row>
    <row r="6" spans="1:9" x14ac:dyDescent="0.25">
      <c r="A6" t="s">
        <v>96</v>
      </c>
    </row>
    <row r="7" spans="1:9" x14ac:dyDescent="0.25">
      <c r="A7" t="s">
        <v>97</v>
      </c>
      <c r="B7">
        <v>6023</v>
      </c>
      <c r="C7" t="s">
        <v>90</v>
      </c>
    </row>
    <row r="8" spans="1:9" x14ac:dyDescent="0.25">
      <c r="A8" t="s">
        <v>98</v>
      </c>
      <c r="B8">
        <v>6027</v>
      </c>
      <c r="C8" t="s">
        <v>90</v>
      </c>
    </row>
    <row r="9" spans="1:9" ht="15.75" thickBot="1" x14ac:dyDescent="0.3"/>
    <row r="10" spans="1:9" x14ac:dyDescent="0.25">
      <c r="A10" s="49" t="s">
        <v>99</v>
      </c>
      <c r="B10" s="48"/>
      <c r="C10" s="48"/>
      <c r="D10" s="66"/>
      <c r="E10" s="103"/>
    </row>
    <row r="11" spans="1:9" x14ac:dyDescent="0.25">
      <c r="A11" s="105" t="s">
        <v>100</v>
      </c>
      <c r="B11" s="79" t="s">
        <v>101</v>
      </c>
      <c r="C11" s="79" t="s">
        <v>102</v>
      </c>
      <c r="E11" s="104"/>
    </row>
    <row r="12" spans="1:9" x14ac:dyDescent="0.25">
      <c r="A12" s="39">
        <v>4600</v>
      </c>
      <c r="B12">
        <f>4000</f>
        <v>4000</v>
      </c>
      <c r="C12">
        <f>20000</f>
        <v>20000</v>
      </c>
      <c r="D12" s="89" t="s">
        <v>95</v>
      </c>
      <c r="E12" s="104"/>
    </row>
    <row r="13" spans="1:9" x14ac:dyDescent="0.25">
      <c r="A13" s="106">
        <f>A12*86400/43560</f>
        <v>9123.9669421487597</v>
      </c>
      <c r="B13" s="83">
        <f t="shared" ref="B13:C13" si="0">B12*86400/43560</f>
        <v>7933.8842975206608</v>
      </c>
      <c r="C13" s="83">
        <f t="shared" si="0"/>
        <v>39669.421487603307</v>
      </c>
      <c r="D13" s="89" t="s">
        <v>103</v>
      </c>
      <c r="E13" s="107">
        <f>SUM(A13:C13)</f>
        <v>56727.272727272728</v>
      </c>
    </row>
    <row r="14" spans="1:9" ht="15.75" thickBot="1" x14ac:dyDescent="0.3">
      <c r="A14" s="35"/>
      <c r="B14" s="34"/>
      <c r="C14" s="34"/>
      <c r="D14" s="34"/>
      <c r="E14" s="117">
        <f>SUM(A13:B13)</f>
        <v>17057.85123966942</v>
      </c>
      <c r="F14">
        <f>E14*30</f>
        <v>511735.5371900826</v>
      </c>
    </row>
    <row r="15" spans="1:9" ht="31.15" customHeight="1" x14ac:dyDescent="0.25">
      <c r="A15" s="79"/>
      <c r="B15" s="79"/>
      <c r="C15" s="77"/>
      <c r="D15" s="77"/>
      <c r="E15" s="77"/>
      <c r="F15" s="77"/>
      <c r="G15" s="68"/>
      <c r="H15" t="s">
        <v>104</v>
      </c>
    </row>
    <row r="17" spans="1:12" x14ac:dyDescent="0.25">
      <c r="A17" t="s">
        <v>105</v>
      </c>
      <c r="E17" t="s">
        <v>106</v>
      </c>
    </row>
    <row r="19" spans="1:12" ht="60" x14ac:dyDescent="0.25">
      <c r="A19" s="108" t="s">
        <v>107</v>
      </c>
      <c r="B19" s="108" t="s">
        <v>108</v>
      </c>
      <c r="C19" s="108" t="s">
        <v>109</v>
      </c>
      <c r="D19" s="108" t="s">
        <v>110</v>
      </c>
      <c r="E19" s="108" t="s">
        <v>111</v>
      </c>
      <c r="F19" s="108" t="s">
        <v>112</v>
      </c>
      <c r="G19" s="108" t="s">
        <v>113</v>
      </c>
      <c r="H19" s="109"/>
      <c r="I19" s="109" t="s">
        <v>114</v>
      </c>
      <c r="J19" s="109"/>
      <c r="K19" s="109"/>
      <c r="L19" s="109"/>
    </row>
    <row r="20" spans="1:12" x14ac:dyDescent="0.25">
      <c r="A20" s="110" t="s">
        <v>115</v>
      </c>
      <c r="B20" s="111">
        <v>3749200</v>
      </c>
      <c r="C20" s="111">
        <v>5946</v>
      </c>
      <c r="D20" s="111">
        <v>5871</v>
      </c>
      <c r="E20" s="111">
        <v>800</v>
      </c>
      <c r="F20" s="111">
        <v>28600</v>
      </c>
      <c r="G20" s="111">
        <v>39700</v>
      </c>
      <c r="H20" s="112"/>
      <c r="I20" s="112">
        <f>(C20+D20)/2</f>
        <v>5908.5</v>
      </c>
      <c r="J20" s="112"/>
      <c r="K20" s="112"/>
      <c r="L20" s="112"/>
    </row>
    <row r="22" spans="1:12" x14ac:dyDescent="0.25">
      <c r="A22" s="113" t="s">
        <v>0</v>
      </c>
      <c r="B22" s="113" t="s">
        <v>115</v>
      </c>
      <c r="D22" s="98"/>
    </row>
    <row r="23" spans="1:12" x14ac:dyDescent="0.25">
      <c r="A23" s="110" t="s">
        <v>14</v>
      </c>
      <c r="B23" s="114">
        <v>4.5999999999999999E-2</v>
      </c>
    </row>
    <row r="24" spans="1:12" x14ac:dyDescent="0.25">
      <c r="A24" s="110" t="s">
        <v>116</v>
      </c>
      <c r="B24" s="114">
        <v>5.7000000000000002E-2</v>
      </c>
    </row>
    <row r="25" spans="1:12" x14ac:dyDescent="0.25">
      <c r="A25" s="110" t="s">
        <v>20</v>
      </c>
      <c r="B25" s="114">
        <v>8.1000000000000003E-2</v>
      </c>
    </row>
    <row r="26" spans="1:12" x14ac:dyDescent="0.25">
      <c r="A26" s="110" t="s">
        <v>22</v>
      </c>
      <c r="B26" s="114">
        <v>0.129</v>
      </c>
    </row>
    <row r="27" spans="1:12" x14ac:dyDescent="0.25">
      <c r="A27" s="110" t="s">
        <v>23</v>
      </c>
      <c r="B27" s="114">
        <v>0.20499999999999999</v>
      </c>
    </row>
    <row r="28" spans="1:12" x14ac:dyDescent="0.25">
      <c r="A28" s="110" t="s">
        <v>24</v>
      </c>
      <c r="B28" s="114">
        <v>0.27400000000000002</v>
      </c>
    </row>
    <row r="29" spans="1:12" x14ac:dyDescent="0.25">
      <c r="A29" s="110" t="s">
        <v>26</v>
      </c>
      <c r="B29" s="114">
        <v>0.35499999999999998</v>
      </c>
    </row>
    <row r="30" spans="1:12" x14ac:dyDescent="0.25">
      <c r="A30" s="110" t="s">
        <v>28</v>
      </c>
      <c r="B30" s="114">
        <v>0.33100000000000002</v>
      </c>
    </row>
    <row r="31" spans="1:12" x14ac:dyDescent="0.25">
      <c r="A31" s="110" t="s">
        <v>29</v>
      </c>
      <c r="B31" s="114">
        <v>0.29299999999999998</v>
      </c>
    </row>
    <row r="32" spans="1:12" x14ac:dyDescent="0.25">
      <c r="A32" s="110" t="s">
        <v>31</v>
      </c>
      <c r="B32" s="114">
        <v>0.192</v>
      </c>
    </row>
    <row r="33" spans="1:2" x14ac:dyDescent="0.25">
      <c r="A33" s="110" t="s">
        <v>33</v>
      </c>
      <c r="B33" s="114">
        <v>9.0999999999999998E-2</v>
      </c>
    </row>
    <row r="34" spans="1:2" x14ac:dyDescent="0.25">
      <c r="A34" s="110" t="s">
        <v>34</v>
      </c>
      <c r="B34" s="114">
        <v>4.5999999999999999E-2</v>
      </c>
    </row>
    <row r="35" spans="1:2" x14ac:dyDescent="0.25">
      <c r="A35" s="115" t="s">
        <v>35</v>
      </c>
      <c r="B35" s="116">
        <f t="shared" ref="B35" si="1">SUM(B23:B34)</f>
        <v>2.0999999999999996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49B04-7152-4121-8373-62D6D3F21889}">
  <sheetPr codeName="Sheet2"/>
  <dimension ref="A1:R77"/>
  <sheetViews>
    <sheetView zoomScaleNormal="100" workbookViewId="0">
      <selection activeCell="S10" sqref="S10:T10"/>
    </sheetView>
  </sheetViews>
  <sheetFormatPr defaultRowHeight="15" x14ac:dyDescent="0.25"/>
  <cols>
    <col min="1" max="1" width="9" customWidth="1"/>
    <col min="8" max="8" width="12.28515625" customWidth="1"/>
    <col min="9" max="9" width="11.28515625" customWidth="1"/>
    <col min="14" max="14" width="11.5703125" bestFit="1" customWidth="1"/>
  </cols>
  <sheetData>
    <row r="1" spans="1:18" x14ac:dyDescent="0.25">
      <c r="A1" s="177" t="s">
        <v>6</v>
      </c>
      <c r="B1" s="178"/>
      <c r="C1" s="178"/>
      <c r="D1" s="178"/>
      <c r="E1" s="178"/>
      <c r="F1" s="178"/>
      <c r="G1" s="178"/>
      <c r="H1" s="178"/>
      <c r="I1" s="178"/>
      <c r="J1" s="178"/>
      <c r="K1" s="178"/>
      <c r="L1" s="178"/>
      <c r="M1" s="178"/>
      <c r="N1" s="178"/>
      <c r="O1" s="178"/>
      <c r="P1" s="178"/>
      <c r="Q1" s="178"/>
      <c r="R1" s="178"/>
    </row>
    <row r="2" spans="1:18" x14ac:dyDescent="0.25">
      <c r="A2" s="178"/>
      <c r="B2" s="178"/>
      <c r="C2" s="178"/>
      <c r="D2" s="178"/>
      <c r="E2" s="178"/>
      <c r="F2" s="178"/>
      <c r="G2" s="178"/>
      <c r="H2" s="178"/>
      <c r="I2" s="178"/>
      <c r="J2" s="178"/>
      <c r="K2" s="178"/>
      <c r="L2" s="178"/>
      <c r="M2" s="178"/>
      <c r="N2" s="178"/>
      <c r="O2" s="178"/>
      <c r="P2" s="178"/>
      <c r="Q2" s="178"/>
      <c r="R2" s="178"/>
    </row>
    <row r="3" spans="1:18" x14ac:dyDescent="0.25">
      <c r="A3" s="178"/>
      <c r="B3" s="178"/>
      <c r="C3" s="178"/>
      <c r="D3" s="178"/>
      <c r="E3" s="178"/>
      <c r="F3" s="178"/>
      <c r="G3" s="178"/>
      <c r="H3" s="178"/>
      <c r="I3" s="178"/>
      <c r="J3" s="178"/>
      <c r="K3" s="178"/>
      <c r="L3" s="178"/>
      <c r="M3" s="178"/>
      <c r="N3" s="178"/>
      <c r="O3" s="178"/>
      <c r="P3" s="178"/>
      <c r="Q3" s="178"/>
      <c r="R3" s="178"/>
    </row>
    <row r="4" spans="1:18" x14ac:dyDescent="0.25">
      <c r="A4" s="178"/>
      <c r="B4" s="178"/>
      <c r="C4" s="178"/>
      <c r="D4" s="178"/>
      <c r="E4" s="178"/>
      <c r="F4" s="178"/>
      <c r="G4" s="178"/>
      <c r="H4" s="178"/>
      <c r="I4" s="178"/>
      <c r="J4" s="178"/>
      <c r="K4" s="178"/>
      <c r="L4" s="178"/>
      <c r="M4" s="178"/>
      <c r="N4" s="178"/>
      <c r="O4" s="178"/>
      <c r="P4" s="178"/>
      <c r="Q4" s="178"/>
      <c r="R4" s="178"/>
    </row>
    <row r="5" spans="1:18" x14ac:dyDescent="0.25">
      <c r="A5" s="178"/>
      <c r="B5" s="178"/>
      <c r="C5" s="178"/>
      <c r="D5" s="178"/>
      <c r="E5" s="178"/>
      <c r="F5" s="178"/>
      <c r="G5" s="178"/>
      <c r="H5" s="178"/>
      <c r="I5" s="178"/>
      <c r="J5" s="178"/>
      <c r="K5" s="178"/>
      <c r="L5" s="178"/>
      <c r="M5" s="178"/>
      <c r="N5" s="178"/>
      <c r="O5" s="178"/>
      <c r="P5" s="178"/>
      <c r="Q5" s="178"/>
      <c r="R5" s="178"/>
    </row>
    <row r="6" spans="1:18" x14ac:dyDescent="0.25">
      <c r="A6" s="178"/>
      <c r="B6" s="178"/>
      <c r="C6" s="178"/>
      <c r="D6" s="178"/>
      <c r="E6" s="178"/>
      <c r="F6" s="178"/>
      <c r="G6" s="178"/>
      <c r="H6" s="178"/>
      <c r="I6" s="178"/>
      <c r="J6" s="178"/>
      <c r="K6" s="178"/>
      <c r="L6" s="178"/>
      <c r="M6" s="178"/>
      <c r="N6" s="178"/>
      <c r="O6" s="178"/>
      <c r="P6" s="178"/>
      <c r="Q6" s="178"/>
      <c r="R6" s="178"/>
    </row>
    <row r="7" spans="1:18" x14ac:dyDescent="0.25">
      <c r="A7" s="178"/>
      <c r="B7" s="178"/>
      <c r="C7" s="178"/>
      <c r="D7" s="178"/>
      <c r="E7" s="178"/>
      <c r="F7" s="178"/>
      <c r="G7" s="178"/>
      <c r="H7" s="178"/>
      <c r="I7" s="178"/>
      <c r="J7" s="178"/>
      <c r="K7" s="178"/>
      <c r="L7" s="178"/>
      <c r="M7" s="178"/>
      <c r="N7" s="178"/>
      <c r="O7" s="178"/>
      <c r="P7" s="178"/>
      <c r="Q7" s="178"/>
      <c r="R7" s="178"/>
    </row>
    <row r="8" spans="1:18" x14ac:dyDescent="0.25">
      <c r="A8" s="178"/>
      <c r="B8" s="178"/>
      <c r="C8" s="178"/>
      <c r="D8" s="178"/>
      <c r="E8" s="178"/>
      <c r="F8" s="178"/>
      <c r="G8" s="178"/>
      <c r="H8" s="178"/>
      <c r="I8" s="178"/>
      <c r="J8" s="178"/>
      <c r="K8" s="178"/>
      <c r="L8" s="178"/>
      <c r="M8" s="178"/>
      <c r="N8" s="178"/>
      <c r="O8" s="178"/>
      <c r="P8" s="178"/>
      <c r="Q8" s="178"/>
      <c r="R8" s="178"/>
    </row>
    <row r="9" spans="1:18" x14ac:dyDescent="0.25">
      <c r="A9" s="178"/>
      <c r="B9" s="178"/>
      <c r="C9" s="178"/>
      <c r="D9" s="178"/>
      <c r="E9" s="178"/>
      <c r="F9" s="178"/>
      <c r="G9" s="178"/>
      <c r="H9" s="178"/>
      <c r="I9" s="178"/>
      <c r="J9" s="178"/>
      <c r="K9" s="178"/>
      <c r="L9" s="178"/>
      <c r="M9" s="178"/>
      <c r="N9" s="178"/>
      <c r="O9" s="178"/>
      <c r="P9" s="178"/>
      <c r="Q9" s="178"/>
      <c r="R9" s="178"/>
    </row>
    <row r="10" spans="1:18" x14ac:dyDescent="0.25">
      <c r="B10" t="s">
        <v>7</v>
      </c>
    </row>
    <row r="11" spans="1:18" ht="15.75" thickBot="1" x14ac:dyDescent="0.3">
      <c r="B11" t="s">
        <v>0</v>
      </c>
      <c r="C11" t="s">
        <v>8</v>
      </c>
      <c r="H11" t="s">
        <v>7</v>
      </c>
    </row>
    <row r="12" spans="1:18" x14ac:dyDescent="0.25">
      <c r="B12" t="s">
        <v>9</v>
      </c>
      <c r="C12">
        <v>850</v>
      </c>
      <c r="D12" t="s">
        <v>10</v>
      </c>
      <c r="E12" s="171" t="s">
        <v>11</v>
      </c>
      <c r="F12" s="171"/>
      <c r="H12" s="9" t="s">
        <v>0</v>
      </c>
      <c r="I12" s="10" t="s">
        <v>12</v>
      </c>
    </row>
    <row r="13" spans="1:18" x14ac:dyDescent="0.25">
      <c r="B13" t="s">
        <v>13</v>
      </c>
      <c r="C13">
        <v>850</v>
      </c>
      <c r="D13" t="s">
        <v>10</v>
      </c>
      <c r="E13" s="171"/>
      <c r="F13" s="171"/>
      <c r="H13" s="11" t="s">
        <v>14</v>
      </c>
      <c r="I13" s="12">
        <f>C15*86400/43560*31</f>
        <v>61487.603305785124</v>
      </c>
    </row>
    <row r="14" spans="1:18" x14ac:dyDescent="0.25">
      <c r="B14" t="s">
        <v>16</v>
      </c>
      <c r="C14">
        <v>1000</v>
      </c>
      <c r="D14" t="s">
        <v>10</v>
      </c>
      <c r="E14" s="179" t="s">
        <v>17</v>
      </c>
      <c r="F14" s="171"/>
      <c r="H14" s="11" t="s">
        <v>18</v>
      </c>
      <c r="I14" s="12">
        <f>C16*86400/43560*28</f>
        <v>55537.190082644622</v>
      </c>
    </row>
    <row r="15" spans="1:18" x14ac:dyDescent="0.25">
      <c r="B15" t="s">
        <v>19</v>
      </c>
      <c r="C15">
        <v>1000</v>
      </c>
      <c r="D15" t="s">
        <v>10</v>
      </c>
      <c r="E15" s="171"/>
      <c r="F15" s="171"/>
      <c r="H15" s="11" t="s">
        <v>20</v>
      </c>
      <c r="I15" s="12">
        <f>C17*86400/43560*31</f>
        <v>49190.082644628099</v>
      </c>
    </row>
    <row r="16" spans="1:18" x14ac:dyDescent="0.25">
      <c r="B16" t="s">
        <v>21</v>
      </c>
      <c r="C16">
        <v>1000</v>
      </c>
      <c r="D16" t="s">
        <v>10</v>
      </c>
      <c r="E16" s="171"/>
      <c r="F16" s="171"/>
      <c r="H16" s="11" t="s">
        <v>22</v>
      </c>
      <c r="I16" s="12">
        <f>C18*86400/43560*30</f>
        <v>47603.305785123972</v>
      </c>
    </row>
    <row r="17" spans="2:9" x14ac:dyDescent="0.25">
      <c r="B17" t="s">
        <v>20</v>
      </c>
      <c r="C17">
        <v>800</v>
      </c>
      <c r="D17" t="s">
        <v>10</v>
      </c>
      <c r="H17" s="11" t="s">
        <v>23</v>
      </c>
      <c r="I17" s="12">
        <f>C19*86400/43560*30</f>
        <v>50578.512396694212</v>
      </c>
    </row>
    <row r="18" spans="2:9" x14ac:dyDescent="0.25">
      <c r="B18" t="s">
        <v>22</v>
      </c>
      <c r="C18">
        <v>800</v>
      </c>
      <c r="D18" t="s">
        <v>10</v>
      </c>
      <c r="H18" s="11" t="s">
        <v>24</v>
      </c>
      <c r="I18" s="12">
        <v>473652.89256198402</v>
      </c>
    </row>
    <row r="19" spans="2:9" x14ac:dyDescent="0.25">
      <c r="B19" t="s">
        <v>23</v>
      </c>
      <c r="C19">
        <v>850</v>
      </c>
      <c r="D19" t="s">
        <v>25</v>
      </c>
      <c r="H19" s="11" t="s">
        <v>26</v>
      </c>
      <c r="I19" s="12">
        <f>C21*86400/43560*31</f>
        <v>98380.165289256198</v>
      </c>
    </row>
    <row r="20" spans="2:9" ht="15" customHeight="1" x14ac:dyDescent="0.25">
      <c r="B20" t="s">
        <v>24</v>
      </c>
      <c r="C20" t="s">
        <v>27</v>
      </c>
      <c r="H20" s="11" t="s">
        <v>28</v>
      </c>
      <c r="I20" s="12">
        <f>C22*86400/43560*31</f>
        <v>98380.165289256198</v>
      </c>
    </row>
    <row r="21" spans="2:9" x14ac:dyDescent="0.25">
      <c r="B21" t="s">
        <v>26</v>
      </c>
      <c r="C21">
        <v>1600</v>
      </c>
      <c r="D21" t="s">
        <v>10</v>
      </c>
      <c r="H21" s="11" t="s">
        <v>29</v>
      </c>
      <c r="I21" s="12">
        <f>C23*86400/43560*30</f>
        <v>95206.611570247944</v>
      </c>
    </row>
    <row r="22" spans="2:9" x14ac:dyDescent="0.25">
      <c r="B22" t="s">
        <v>30</v>
      </c>
      <c r="C22">
        <v>1600</v>
      </c>
      <c r="D22" t="s">
        <v>10</v>
      </c>
      <c r="H22" s="11" t="s">
        <v>31</v>
      </c>
      <c r="I22" s="12">
        <f>C12*86400/43560*31</f>
        <v>52264.462809917357</v>
      </c>
    </row>
    <row r="23" spans="2:9" x14ac:dyDescent="0.25">
      <c r="B23" t="s">
        <v>32</v>
      </c>
      <c r="C23">
        <v>1600</v>
      </c>
      <c r="D23" t="s">
        <v>10</v>
      </c>
      <c r="H23" s="11" t="s">
        <v>33</v>
      </c>
      <c r="I23" s="12">
        <f>C13*86400/43560*30</f>
        <v>50578.512396694212</v>
      </c>
    </row>
    <row r="24" spans="2:9" x14ac:dyDescent="0.25">
      <c r="H24" s="16" t="s">
        <v>34</v>
      </c>
      <c r="I24" s="17">
        <f>C14*86400/43560*31</f>
        <v>61487.603305785124</v>
      </c>
    </row>
    <row r="25" spans="2:9" ht="15.75" thickBot="1" x14ac:dyDescent="0.3">
      <c r="H25" s="18" t="s">
        <v>35</v>
      </c>
      <c r="I25" s="19">
        <f>SUM(I13:I24)</f>
        <v>1194347.1074380171</v>
      </c>
    </row>
    <row r="26" spans="2:9" x14ac:dyDescent="0.25">
      <c r="H26" s="21" t="s">
        <v>36</v>
      </c>
    </row>
    <row r="37" spans="2:9" x14ac:dyDescent="0.25">
      <c r="B37" t="s">
        <v>37</v>
      </c>
    </row>
    <row r="38" spans="2:9" ht="15.75" thickBot="1" x14ac:dyDescent="0.3">
      <c r="B38" t="s">
        <v>0</v>
      </c>
      <c r="C38" t="s">
        <v>8</v>
      </c>
      <c r="H38" t="s">
        <v>37</v>
      </c>
    </row>
    <row r="39" spans="2:9" x14ac:dyDescent="0.25">
      <c r="B39" t="s">
        <v>9</v>
      </c>
      <c r="C39">
        <v>850</v>
      </c>
      <c r="D39" t="s">
        <v>10</v>
      </c>
      <c r="H39" s="22" t="s">
        <v>0</v>
      </c>
      <c r="I39" s="23" t="s">
        <v>12</v>
      </c>
    </row>
    <row r="40" spans="2:9" x14ac:dyDescent="0.25">
      <c r="B40" t="s">
        <v>13</v>
      </c>
      <c r="C40">
        <v>850</v>
      </c>
      <c r="D40" t="s">
        <v>10</v>
      </c>
      <c r="H40" s="13" t="s">
        <v>14</v>
      </c>
      <c r="I40" s="24">
        <f>C42*86400/43560*31</f>
        <v>61487.603305785124</v>
      </c>
    </row>
    <row r="41" spans="2:9" x14ac:dyDescent="0.25">
      <c r="B41" t="s">
        <v>16</v>
      </c>
      <c r="C41">
        <v>1000</v>
      </c>
      <c r="D41" t="s">
        <v>10</v>
      </c>
      <c r="H41" s="13" t="s">
        <v>18</v>
      </c>
      <c r="I41" s="24">
        <f>C43*86400/43560*28</f>
        <v>55537.190082644622</v>
      </c>
    </row>
    <row r="42" spans="2:9" x14ac:dyDescent="0.25">
      <c r="B42" t="s">
        <v>19</v>
      </c>
      <c r="C42">
        <v>1000</v>
      </c>
      <c r="D42" t="s">
        <v>10</v>
      </c>
      <c r="H42" s="13" t="s">
        <v>20</v>
      </c>
      <c r="I42" s="24">
        <f>C44*86400/43560*31</f>
        <v>49190.082644628099</v>
      </c>
    </row>
    <row r="43" spans="2:9" x14ac:dyDescent="0.25">
      <c r="B43" t="s">
        <v>21</v>
      </c>
      <c r="C43">
        <v>1000</v>
      </c>
      <c r="D43" t="s">
        <v>10</v>
      </c>
      <c r="H43" s="13" t="s">
        <v>22</v>
      </c>
      <c r="I43" s="24">
        <f>C45*86400/43560*30</f>
        <v>47603.305785123972</v>
      </c>
    </row>
    <row r="44" spans="2:9" x14ac:dyDescent="0.25">
      <c r="B44" t="s">
        <v>20</v>
      </c>
      <c r="C44">
        <v>800</v>
      </c>
      <c r="D44" t="s">
        <v>10</v>
      </c>
      <c r="H44" s="13" t="s">
        <v>23</v>
      </c>
      <c r="I44" s="24">
        <f>C46*86400/43560*30</f>
        <v>50578.512396694212</v>
      </c>
    </row>
    <row r="45" spans="2:9" x14ac:dyDescent="0.25">
      <c r="B45" t="s">
        <v>22</v>
      </c>
      <c r="C45">
        <v>800</v>
      </c>
      <c r="D45" t="s">
        <v>10</v>
      </c>
      <c r="H45" s="13" t="s">
        <v>24</v>
      </c>
      <c r="I45" s="24">
        <v>287623.14049586805</v>
      </c>
    </row>
    <row r="46" spans="2:9" x14ac:dyDescent="0.25">
      <c r="B46" t="s">
        <v>23</v>
      </c>
      <c r="C46">
        <v>850</v>
      </c>
      <c r="D46" t="s">
        <v>25</v>
      </c>
      <c r="H46" s="13" t="s">
        <v>26</v>
      </c>
      <c r="I46" s="24">
        <f>C48*86400/43560*31</f>
        <v>98380.165289256198</v>
      </c>
    </row>
    <row r="47" spans="2:9" x14ac:dyDescent="0.25">
      <c r="B47" t="s">
        <v>24</v>
      </c>
      <c r="C47" t="s">
        <v>27</v>
      </c>
      <c r="H47" s="13" t="s">
        <v>28</v>
      </c>
      <c r="I47" s="24">
        <f>C49*86400/43560*31</f>
        <v>98380.165289256198</v>
      </c>
    </row>
    <row r="48" spans="2:9" x14ac:dyDescent="0.25">
      <c r="B48" t="s">
        <v>26</v>
      </c>
      <c r="C48">
        <v>1600</v>
      </c>
      <c r="D48" t="s">
        <v>10</v>
      </c>
      <c r="H48" s="13" t="s">
        <v>29</v>
      </c>
      <c r="I48" s="24">
        <f>C50*86400/43560*30</f>
        <v>95206.611570247944</v>
      </c>
    </row>
    <row r="49" spans="2:9" x14ac:dyDescent="0.25">
      <c r="B49" t="s">
        <v>30</v>
      </c>
      <c r="C49">
        <v>1600</v>
      </c>
      <c r="D49" t="s">
        <v>10</v>
      </c>
      <c r="H49" s="13" t="s">
        <v>31</v>
      </c>
      <c r="I49" s="24">
        <f>C39*86400/43560*31</f>
        <v>52264.462809917357</v>
      </c>
    </row>
    <row r="50" spans="2:9" x14ac:dyDescent="0.25">
      <c r="B50" t="s">
        <v>32</v>
      </c>
      <c r="C50">
        <v>1600</v>
      </c>
      <c r="D50" t="s">
        <v>10</v>
      </c>
      <c r="H50" s="13" t="s">
        <v>33</v>
      </c>
      <c r="I50" s="24">
        <f>C40*86400/43560*30</f>
        <v>50578.512396694212</v>
      </c>
    </row>
    <row r="51" spans="2:9" x14ac:dyDescent="0.25">
      <c r="H51" s="25" t="s">
        <v>34</v>
      </c>
      <c r="I51" s="26">
        <f>C41*86400/43560*31</f>
        <v>61487.603305785124</v>
      </c>
    </row>
    <row r="52" spans="2:9" ht="15.75" thickBot="1" x14ac:dyDescent="0.3">
      <c r="H52" s="27" t="s">
        <v>35</v>
      </c>
      <c r="I52" s="28">
        <f>SUM(I40:I44)+SUM(I45:I51)</f>
        <v>1008317.3553719011</v>
      </c>
    </row>
    <row r="53" spans="2:9" x14ac:dyDescent="0.25">
      <c r="H53" s="21" t="s">
        <v>36</v>
      </c>
    </row>
    <row r="61" spans="2:9" x14ac:dyDescent="0.25">
      <c r="B61" t="s">
        <v>38</v>
      </c>
    </row>
    <row r="62" spans="2:9" ht="15.75" thickBot="1" x14ac:dyDescent="0.3">
      <c r="B62" t="s">
        <v>0</v>
      </c>
      <c r="C62" t="s">
        <v>8</v>
      </c>
      <c r="H62" t="s">
        <v>38</v>
      </c>
    </row>
    <row r="63" spans="2:9" x14ac:dyDescent="0.25">
      <c r="B63" t="s">
        <v>9</v>
      </c>
      <c r="C63">
        <v>850</v>
      </c>
      <c r="D63" t="s">
        <v>10</v>
      </c>
      <c r="H63" s="22" t="s">
        <v>0</v>
      </c>
      <c r="I63" s="23" t="s">
        <v>12</v>
      </c>
    </row>
    <row r="64" spans="2:9" x14ac:dyDescent="0.25">
      <c r="B64" t="s">
        <v>13</v>
      </c>
      <c r="C64">
        <v>850</v>
      </c>
      <c r="D64" t="s">
        <v>10</v>
      </c>
      <c r="H64" s="13" t="s">
        <v>14</v>
      </c>
      <c r="I64" s="12">
        <f>C66*86400/43560*31</f>
        <v>61487.603305785124</v>
      </c>
    </row>
    <row r="65" spans="2:9" x14ac:dyDescent="0.25">
      <c r="B65" t="s">
        <v>16</v>
      </c>
      <c r="C65">
        <v>1000</v>
      </c>
      <c r="D65" t="s">
        <v>10</v>
      </c>
      <c r="H65" s="13" t="s">
        <v>18</v>
      </c>
      <c r="I65" s="12">
        <f>C67*86400/43560*28</f>
        <v>55537.190082644622</v>
      </c>
    </row>
    <row r="66" spans="2:9" x14ac:dyDescent="0.25">
      <c r="B66" t="s">
        <v>19</v>
      </c>
      <c r="C66">
        <v>1000</v>
      </c>
      <c r="D66" t="s">
        <v>10</v>
      </c>
      <c r="H66" s="13" t="s">
        <v>20</v>
      </c>
      <c r="I66" s="12">
        <f>C68*86400/43560*31</f>
        <v>49190.082644628099</v>
      </c>
    </row>
    <row r="67" spans="2:9" x14ac:dyDescent="0.25">
      <c r="B67" t="s">
        <v>21</v>
      </c>
      <c r="C67">
        <v>1000</v>
      </c>
      <c r="D67" t="s">
        <v>10</v>
      </c>
      <c r="H67" s="13" t="s">
        <v>22</v>
      </c>
      <c r="I67" s="12">
        <f>C69*86400/43560*30</f>
        <v>47603.305785123972</v>
      </c>
    </row>
    <row r="68" spans="2:9" x14ac:dyDescent="0.25">
      <c r="B68" t="s">
        <v>20</v>
      </c>
      <c r="C68">
        <v>800</v>
      </c>
      <c r="D68" t="s">
        <v>10</v>
      </c>
      <c r="H68" s="13" t="s">
        <v>23</v>
      </c>
      <c r="I68" s="12">
        <f>C70*86400/43560*30</f>
        <v>50578.512396694212</v>
      </c>
    </row>
    <row r="69" spans="2:9" x14ac:dyDescent="0.25">
      <c r="B69" t="s">
        <v>22</v>
      </c>
      <c r="C69">
        <v>800</v>
      </c>
      <c r="D69" t="s">
        <v>10</v>
      </c>
      <c r="H69" s="13" t="s">
        <v>24</v>
      </c>
      <c r="I69" s="24">
        <v>167147.107438017</v>
      </c>
    </row>
    <row r="70" spans="2:9" x14ac:dyDescent="0.25">
      <c r="B70" t="s">
        <v>23</v>
      </c>
      <c r="C70">
        <v>850</v>
      </c>
      <c r="D70" t="s">
        <v>25</v>
      </c>
      <c r="H70" s="13" t="s">
        <v>26</v>
      </c>
      <c r="I70" s="12">
        <f>C72*86400/43560*31</f>
        <v>98380.165289256198</v>
      </c>
    </row>
    <row r="71" spans="2:9" x14ac:dyDescent="0.25">
      <c r="B71" t="s">
        <v>24</v>
      </c>
      <c r="C71" t="s">
        <v>27</v>
      </c>
      <c r="H71" s="13" t="s">
        <v>28</v>
      </c>
      <c r="I71" s="12">
        <f>C73*86400/43560*31</f>
        <v>98380.165289256198</v>
      </c>
    </row>
    <row r="72" spans="2:9" x14ac:dyDescent="0.25">
      <c r="B72" t="s">
        <v>26</v>
      </c>
      <c r="C72">
        <v>1600</v>
      </c>
      <c r="D72" t="s">
        <v>10</v>
      </c>
      <c r="H72" s="13" t="s">
        <v>29</v>
      </c>
      <c r="I72" s="12">
        <f>C74*86400/43560*30</f>
        <v>95206.611570247944</v>
      </c>
    </row>
    <row r="73" spans="2:9" x14ac:dyDescent="0.25">
      <c r="B73" t="s">
        <v>30</v>
      </c>
      <c r="C73">
        <v>1600</v>
      </c>
      <c r="D73" t="s">
        <v>10</v>
      </c>
      <c r="H73" s="13" t="s">
        <v>31</v>
      </c>
      <c r="I73" s="12">
        <f>C63*86400/43560*31</f>
        <v>52264.462809917357</v>
      </c>
    </row>
    <row r="74" spans="2:9" x14ac:dyDescent="0.25">
      <c r="B74" t="s">
        <v>32</v>
      </c>
      <c r="C74">
        <v>1600</v>
      </c>
      <c r="D74" t="s">
        <v>10</v>
      </c>
      <c r="H74" s="13" t="s">
        <v>33</v>
      </c>
      <c r="I74" s="12">
        <f>C64*86400/43560*30</f>
        <v>50578.512396694212</v>
      </c>
    </row>
    <row r="75" spans="2:9" x14ac:dyDescent="0.25">
      <c r="H75" s="25" t="s">
        <v>34</v>
      </c>
      <c r="I75" s="17">
        <f>C65*86400/43560*31</f>
        <v>61487.603305785124</v>
      </c>
    </row>
    <row r="76" spans="2:9" ht="15.75" thickBot="1" x14ac:dyDescent="0.3">
      <c r="H76" s="27" t="s">
        <v>35</v>
      </c>
      <c r="I76" s="19">
        <f>SUM(I64:I75)</f>
        <v>887841.32231405005</v>
      </c>
    </row>
    <row r="77" spans="2:9" x14ac:dyDescent="0.25">
      <c r="H77" s="29"/>
    </row>
  </sheetData>
  <mergeCells count="3">
    <mergeCell ref="A1:R9"/>
    <mergeCell ref="E12:F13"/>
    <mergeCell ref="E14:F1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6C992-EAD4-4291-8EE2-1AD74C4CDAD1}">
  <sheetPr codeName="Sheet3"/>
  <dimension ref="A1:N46"/>
  <sheetViews>
    <sheetView topLeftCell="B1" zoomScale="70" zoomScaleNormal="70" workbookViewId="0">
      <selection activeCell="I32" sqref="I32:I43"/>
    </sheetView>
  </sheetViews>
  <sheetFormatPr defaultRowHeight="15" x14ac:dyDescent="0.25"/>
  <cols>
    <col min="2" max="2" width="21.28515625" customWidth="1"/>
    <col min="3" max="3" width="21.42578125" customWidth="1"/>
    <col min="4" max="4" width="17" customWidth="1"/>
    <col min="5" max="6" width="23.28515625" customWidth="1"/>
    <col min="8" max="8" width="9.7109375" customWidth="1"/>
    <col min="9" max="9" width="15.5703125" style="31" customWidth="1"/>
    <col min="10" max="10" width="14.85546875" style="31" customWidth="1"/>
    <col min="11" max="11" width="14.7109375" style="31" customWidth="1"/>
    <col min="12" max="12" width="12.28515625" style="30" customWidth="1"/>
  </cols>
  <sheetData>
    <row r="1" spans="1:14" x14ac:dyDescent="0.25">
      <c r="A1" s="67" t="s">
        <v>1</v>
      </c>
      <c r="B1" s="66" t="s">
        <v>0</v>
      </c>
      <c r="C1" s="66" t="s">
        <v>46</v>
      </c>
      <c r="D1" s="66" t="s">
        <v>45</v>
      </c>
      <c r="E1" s="66" t="s">
        <v>44</v>
      </c>
      <c r="F1" s="66"/>
      <c r="G1" s="65" t="s">
        <v>1</v>
      </c>
      <c r="H1" s="64" t="s">
        <v>0</v>
      </c>
      <c r="I1" s="63" t="s">
        <v>43</v>
      </c>
      <c r="J1" s="63" t="s">
        <v>42</v>
      </c>
      <c r="K1" s="63" t="s">
        <v>49</v>
      </c>
      <c r="L1" s="62" t="s">
        <v>40</v>
      </c>
    </row>
    <row r="2" spans="1:14" x14ac:dyDescent="0.25">
      <c r="A2" s="39">
        <v>2013</v>
      </c>
      <c r="B2">
        <v>1</v>
      </c>
      <c r="C2">
        <v>52879.338842975201</v>
      </c>
      <c r="D2">
        <v>2568.59504132231</v>
      </c>
      <c r="E2">
        <v>653.55371900826401</v>
      </c>
      <c r="F2">
        <v>1</v>
      </c>
      <c r="G2" s="20">
        <v>2013</v>
      </c>
      <c r="H2" s="3">
        <v>1</v>
      </c>
      <c r="I2" s="38">
        <f t="shared" ref="I2:I13" si="0">SUM(C2:E2)</f>
        <v>56101.487603305774</v>
      </c>
      <c r="J2" s="38">
        <v>10998.347107438</v>
      </c>
      <c r="K2" s="38">
        <v>78684.297520661203</v>
      </c>
      <c r="L2" s="40">
        <f t="shared" ref="L2:L13" si="1">K2-J2</f>
        <v>67685.95041322321</v>
      </c>
    </row>
    <row r="3" spans="1:14" x14ac:dyDescent="0.25">
      <c r="A3" s="39">
        <v>2013</v>
      </c>
      <c r="B3">
        <v>2</v>
      </c>
      <c r="C3">
        <v>47363.305785124001</v>
      </c>
      <c r="D3">
        <v>2225.45454545455</v>
      </c>
      <c r="E3">
        <v>696.79338842975199</v>
      </c>
      <c r="F3">
        <v>2</v>
      </c>
      <c r="G3" s="20">
        <v>2013</v>
      </c>
      <c r="H3" s="3">
        <v>2</v>
      </c>
      <c r="I3" s="38">
        <f t="shared" si="0"/>
        <v>50285.553719008305</v>
      </c>
      <c r="J3" s="38">
        <v>11345.4545454545</v>
      </c>
      <c r="K3" s="38">
        <v>95444.628099173598</v>
      </c>
      <c r="L3" s="40">
        <f t="shared" si="1"/>
        <v>84099.173553719098</v>
      </c>
    </row>
    <row r="4" spans="1:14" x14ac:dyDescent="0.25">
      <c r="A4" s="39">
        <v>2013</v>
      </c>
      <c r="B4">
        <v>3</v>
      </c>
      <c r="C4">
        <v>56624.132231404998</v>
      </c>
      <c r="D4">
        <v>3229.0909090909099</v>
      </c>
      <c r="E4">
        <v>8347.2396694214895</v>
      </c>
      <c r="F4">
        <v>3</v>
      </c>
      <c r="G4" s="20">
        <v>2013</v>
      </c>
      <c r="H4" s="3">
        <v>3</v>
      </c>
      <c r="I4" s="38">
        <f t="shared" si="0"/>
        <v>68200.462809917401</v>
      </c>
      <c r="J4" s="38">
        <v>23892.892561983499</v>
      </c>
      <c r="K4" s="38">
        <v>105480.991735537</v>
      </c>
      <c r="L4" s="40">
        <f t="shared" si="1"/>
        <v>81588.099173553492</v>
      </c>
      <c r="N4" t="s">
        <v>48</v>
      </c>
    </row>
    <row r="5" spans="1:14" x14ac:dyDescent="0.25">
      <c r="A5" s="39">
        <v>2013</v>
      </c>
      <c r="B5">
        <v>4</v>
      </c>
      <c r="C5">
        <v>48378.8429752066</v>
      </c>
      <c r="D5">
        <v>2623.5371900826399</v>
      </c>
      <c r="E5">
        <v>7144.0661157024797</v>
      </c>
      <c r="F5">
        <v>4</v>
      </c>
      <c r="G5" s="20">
        <v>2013</v>
      </c>
      <c r="H5" s="3">
        <v>4</v>
      </c>
      <c r="I5" s="38">
        <f t="shared" si="0"/>
        <v>58146.446280991724</v>
      </c>
      <c r="J5" s="38">
        <v>85410.247933884297</v>
      </c>
      <c r="K5" s="38">
        <v>149276.03305785099</v>
      </c>
      <c r="L5" s="40">
        <f t="shared" si="1"/>
        <v>63865.785123966692</v>
      </c>
    </row>
    <row r="6" spans="1:14" x14ac:dyDescent="0.25">
      <c r="A6" s="39">
        <v>2013</v>
      </c>
      <c r="B6">
        <v>5</v>
      </c>
      <c r="C6">
        <v>46347.7685950413</v>
      </c>
      <c r="D6">
        <v>5704.5619834710697</v>
      </c>
      <c r="E6">
        <v>7550.2809917355398</v>
      </c>
      <c r="F6">
        <v>5</v>
      </c>
      <c r="G6" s="20">
        <v>2013</v>
      </c>
      <c r="H6" s="3">
        <v>5</v>
      </c>
      <c r="I6" s="38">
        <f t="shared" si="0"/>
        <v>59602.611570247907</v>
      </c>
      <c r="J6" s="38">
        <v>389573.55371900799</v>
      </c>
      <c r="K6" s="38">
        <v>439775.20661157003</v>
      </c>
      <c r="L6" s="40">
        <f t="shared" si="1"/>
        <v>50201.652892562037</v>
      </c>
    </row>
    <row r="7" spans="1:14" x14ac:dyDescent="0.25">
      <c r="A7" s="39">
        <v>2013</v>
      </c>
      <c r="B7" s="43">
        <v>6</v>
      </c>
      <c r="C7" s="43">
        <v>43943.801652892602</v>
      </c>
      <c r="D7" s="43">
        <v>3014.3008264462801</v>
      </c>
      <c r="E7" s="43">
        <v>2939.3057851239701</v>
      </c>
      <c r="F7">
        <v>6</v>
      </c>
      <c r="G7" s="14">
        <v>2013</v>
      </c>
      <c r="H7" s="15">
        <v>6</v>
      </c>
      <c r="I7" s="42">
        <f t="shared" si="0"/>
        <v>49897.408264462851</v>
      </c>
      <c r="J7" s="42">
        <v>198585.12396694199</v>
      </c>
      <c r="K7" s="42">
        <v>365732.23140495899</v>
      </c>
      <c r="L7" s="41">
        <f t="shared" si="1"/>
        <v>167147.107438017</v>
      </c>
    </row>
    <row r="8" spans="1:14" x14ac:dyDescent="0.25">
      <c r="A8" s="39">
        <v>2013</v>
      </c>
      <c r="B8">
        <v>7</v>
      </c>
      <c r="C8">
        <v>43192.066115702502</v>
      </c>
      <c r="D8">
        <v>853.62644628099201</v>
      </c>
      <c r="E8">
        <v>2150.6776859504098</v>
      </c>
      <c r="F8">
        <v>7</v>
      </c>
      <c r="G8" s="20">
        <v>2013</v>
      </c>
      <c r="H8" s="3">
        <v>7</v>
      </c>
      <c r="I8" s="38">
        <f t="shared" si="0"/>
        <v>46196.370247933904</v>
      </c>
      <c r="J8" s="38">
        <v>19160.330578512399</v>
      </c>
      <c r="K8" s="38">
        <v>99332.2314049587</v>
      </c>
      <c r="L8" s="40">
        <f t="shared" si="1"/>
        <v>80171.900826446305</v>
      </c>
    </row>
    <row r="9" spans="1:14" x14ac:dyDescent="0.25">
      <c r="A9" s="39">
        <v>2013</v>
      </c>
      <c r="B9">
        <v>8</v>
      </c>
      <c r="C9">
        <v>35371.239669421499</v>
      </c>
      <c r="D9">
        <v>282.58512396694198</v>
      </c>
      <c r="E9">
        <v>175.37851239669399</v>
      </c>
      <c r="F9">
        <v>8</v>
      </c>
      <c r="G9" s="20">
        <v>2013</v>
      </c>
      <c r="H9" s="3">
        <v>8</v>
      </c>
      <c r="I9" s="38">
        <f t="shared" si="0"/>
        <v>35829.203305785137</v>
      </c>
      <c r="J9" s="38">
        <v>9625.7851239669399</v>
      </c>
      <c r="K9" s="38">
        <v>87114.049586776906</v>
      </c>
      <c r="L9" s="40">
        <f t="shared" si="1"/>
        <v>77488.264462809966</v>
      </c>
    </row>
    <row r="10" spans="1:14" x14ac:dyDescent="0.25">
      <c r="A10" s="39">
        <v>2013</v>
      </c>
      <c r="B10">
        <v>9</v>
      </c>
      <c r="C10">
        <v>40710.743801652898</v>
      </c>
      <c r="D10">
        <v>5340.7735537190101</v>
      </c>
      <c r="E10">
        <v>9184.8595041322296</v>
      </c>
      <c r="F10">
        <v>9</v>
      </c>
      <c r="G10" s="20">
        <v>2013</v>
      </c>
      <c r="H10" s="3">
        <v>9</v>
      </c>
      <c r="I10" s="38">
        <f t="shared" si="0"/>
        <v>55236.376859504133</v>
      </c>
      <c r="J10" s="38">
        <v>17789.7520661157</v>
      </c>
      <c r="K10" s="38">
        <v>95147.107438016494</v>
      </c>
      <c r="L10" s="40">
        <f t="shared" si="1"/>
        <v>77357.35537190079</v>
      </c>
    </row>
    <row r="11" spans="1:14" x14ac:dyDescent="0.25">
      <c r="A11" s="61">
        <v>2012</v>
      </c>
      <c r="B11" s="60">
        <v>10</v>
      </c>
      <c r="C11" s="60">
        <v>52385.4545454545</v>
      </c>
      <c r="D11" s="60">
        <v>832.839669421488</v>
      </c>
      <c r="E11" s="60">
        <v>1291.5570247933899</v>
      </c>
      <c r="F11">
        <v>10</v>
      </c>
      <c r="G11" s="59">
        <v>2012</v>
      </c>
      <c r="H11" s="58">
        <v>10</v>
      </c>
      <c r="I11" s="57">
        <f t="shared" si="0"/>
        <v>54509.851239669377</v>
      </c>
      <c r="J11" s="57">
        <v>11502.1487603306</v>
      </c>
      <c r="K11" s="57">
        <v>70690.909090909103</v>
      </c>
      <c r="L11" s="56">
        <f t="shared" si="1"/>
        <v>59188.760330578501</v>
      </c>
    </row>
    <row r="12" spans="1:14" x14ac:dyDescent="0.25">
      <c r="A12" s="39">
        <v>2012</v>
      </c>
      <c r="B12">
        <v>11</v>
      </c>
      <c r="C12">
        <v>51619.834710743802</v>
      </c>
      <c r="D12">
        <v>2579.90082644628</v>
      </c>
      <c r="E12">
        <v>2152.6611570247901</v>
      </c>
      <c r="F12">
        <v>11</v>
      </c>
      <c r="G12" s="20">
        <v>2012</v>
      </c>
      <c r="H12" s="3">
        <v>11</v>
      </c>
      <c r="I12" s="38">
        <f t="shared" si="0"/>
        <v>56352.396694214876</v>
      </c>
      <c r="J12" s="38">
        <v>15968.925619834699</v>
      </c>
      <c r="K12" s="38">
        <v>74776.859504132197</v>
      </c>
      <c r="L12" s="40">
        <f t="shared" si="1"/>
        <v>58807.933884297498</v>
      </c>
    </row>
    <row r="13" spans="1:14" x14ac:dyDescent="0.25">
      <c r="A13" s="39">
        <v>2012</v>
      </c>
      <c r="B13">
        <v>12</v>
      </c>
      <c r="C13">
        <v>45508.760330578501</v>
      </c>
      <c r="D13">
        <v>3275.90082644628</v>
      </c>
      <c r="E13">
        <v>1926.34710743802</v>
      </c>
      <c r="F13">
        <v>12</v>
      </c>
      <c r="G13" s="20">
        <v>2012</v>
      </c>
      <c r="H13" s="3">
        <v>12</v>
      </c>
      <c r="I13" s="38">
        <f t="shared" si="0"/>
        <v>50711.008264462806</v>
      </c>
      <c r="J13" s="38">
        <v>11252.826446281</v>
      </c>
      <c r="K13" s="38">
        <v>82393.3884297521</v>
      </c>
      <c r="L13" s="40">
        <f t="shared" si="1"/>
        <v>71140.561983471096</v>
      </c>
    </row>
    <row r="14" spans="1:14" x14ac:dyDescent="0.25">
      <c r="A14" s="39"/>
      <c r="G14" s="20"/>
      <c r="H14" s="3"/>
      <c r="I14" s="38">
        <f>SUM(I2:I13)</f>
        <v>641069.17685950419</v>
      </c>
      <c r="J14" s="38">
        <f>SUM(J2:J13)</f>
        <v>805105.38842975174</v>
      </c>
      <c r="K14" s="38">
        <f>SUM(K2:K13)</f>
        <v>1743847.9338842975</v>
      </c>
      <c r="L14" s="36">
        <f>SUM(L2:L13)</f>
        <v>938742.54545454565</v>
      </c>
    </row>
    <row r="15" spans="1:14" ht="15.75" thickBot="1" x14ac:dyDescent="0.3">
      <c r="A15" s="35"/>
      <c r="B15" s="34"/>
      <c r="C15" s="34"/>
      <c r="D15" s="34"/>
      <c r="E15" s="34"/>
      <c r="F15" s="34"/>
      <c r="G15" s="55"/>
      <c r="H15" s="54"/>
      <c r="I15" s="53"/>
      <c r="J15" s="53"/>
      <c r="K15" s="53"/>
      <c r="L15" s="52"/>
    </row>
    <row r="16" spans="1:14" ht="28.15" customHeight="1" x14ac:dyDescent="0.25">
      <c r="A16" s="48" t="s">
        <v>1</v>
      </c>
      <c r="B16" s="48" t="s">
        <v>0</v>
      </c>
      <c r="C16" s="48" t="s">
        <v>46</v>
      </c>
      <c r="D16" s="48" t="s">
        <v>45</v>
      </c>
      <c r="E16" s="48" t="s">
        <v>44</v>
      </c>
      <c r="F16" s="48"/>
      <c r="G16" s="46" t="s">
        <v>1</v>
      </c>
      <c r="H16" s="46" t="s">
        <v>0</v>
      </c>
      <c r="I16" s="45" t="s">
        <v>43</v>
      </c>
      <c r="J16" s="45" t="s">
        <v>42</v>
      </c>
      <c r="K16" s="45" t="s">
        <v>41</v>
      </c>
      <c r="L16" s="44" t="s">
        <v>40</v>
      </c>
    </row>
    <row r="17" spans="1:14" x14ac:dyDescent="0.25">
      <c r="A17">
        <v>2014</v>
      </c>
      <c r="B17">
        <v>1</v>
      </c>
      <c r="C17">
        <v>62463.471074380199</v>
      </c>
      <c r="D17">
        <v>2394.04958677686</v>
      </c>
      <c r="E17">
        <v>3159.6694214876002</v>
      </c>
      <c r="F17">
        <v>1</v>
      </c>
      <c r="G17" s="3">
        <v>2014</v>
      </c>
      <c r="H17" s="3">
        <v>1</v>
      </c>
      <c r="I17" s="50">
        <f t="shared" ref="I17:I28" si="2">SUM(C17:E17)</f>
        <v>68017.190082644665</v>
      </c>
      <c r="J17" s="50">
        <v>22851.570247933902</v>
      </c>
      <c r="K17" s="50">
        <v>76780.165289256198</v>
      </c>
      <c r="L17" s="40">
        <f t="shared" ref="L17:L28" si="3">K17-J17</f>
        <v>53928.595041322296</v>
      </c>
    </row>
    <row r="18" spans="1:14" x14ac:dyDescent="0.25">
      <c r="A18">
        <v>2014</v>
      </c>
      <c r="B18">
        <v>2</v>
      </c>
      <c r="C18">
        <v>57044.628099173598</v>
      </c>
      <c r="D18">
        <v>1866.44628099174</v>
      </c>
      <c r="E18">
        <v>24283.6363636364</v>
      </c>
      <c r="F18">
        <v>2</v>
      </c>
      <c r="G18" s="3">
        <v>2014</v>
      </c>
      <c r="H18" s="3">
        <v>2</v>
      </c>
      <c r="I18" s="50">
        <f t="shared" si="2"/>
        <v>83194.710743801741</v>
      </c>
      <c r="J18" s="50">
        <v>24190.413223140498</v>
      </c>
      <c r="K18" s="50">
        <v>87788.429752066106</v>
      </c>
      <c r="L18" s="40">
        <f t="shared" si="3"/>
        <v>63598.016528925611</v>
      </c>
    </row>
    <row r="19" spans="1:14" x14ac:dyDescent="0.25">
      <c r="A19">
        <v>2014</v>
      </c>
      <c r="B19">
        <v>3</v>
      </c>
      <c r="C19">
        <v>71639.008264462798</v>
      </c>
      <c r="D19">
        <v>2298.2479338843</v>
      </c>
      <c r="E19">
        <v>13963.6363636364</v>
      </c>
      <c r="F19">
        <v>3</v>
      </c>
      <c r="G19" s="3">
        <v>2014</v>
      </c>
      <c r="H19" s="3">
        <v>3</v>
      </c>
      <c r="I19" s="50">
        <f t="shared" si="2"/>
        <v>87900.892561983492</v>
      </c>
      <c r="J19" s="50">
        <v>59069.752066115703</v>
      </c>
      <c r="K19" s="50">
        <v>123213.223140496</v>
      </c>
      <c r="L19" s="40">
        <f t="shared" si="3"/>
        <v>64143.471074380301</v>
      </c>
    </row>
    <row r="20" spans="1:14" x14ac:dyDescent="0.25">
      <c r="A20">
        <v>2014</v>
      </c>
      <c r="B20">
        <v>4</v>
      </c>
      <c r="C20">
        <v>82770.247933884297</v>
      </c>
      <c r="D20">
        <v>2316.09917355372</v>
      </c>
      <c r="E20">
        <v>18263.801652892598</v>
      </c>
      <c r="F20">
        <v>4</v>
      </c>
      <c r="G20" s="3">
        <v>2014</v>
      </c>
      <c r="H20" s="3">
        <v>4</v>
      </c>
      <c r="I20" s="50">
        <f t="shared" si="2"/>
        <v>103350.14876033062</v>
      </c>
      <c r="J20" s="50">
        <v>260052.892561983</v>
      </c>
      <c r="K20" s="50">
        <v>305970.24793388398</v>
      </c>
      <c r="L20" s="40">
        <f t="shared" si="3"/>
        <v>45917.35537190098</v>
      </c>
    </row>
    <row r="21" spans="1:14" x14ac:dyDescent="0.25">
      <c r="A21">
        <v>2014</v>
      </c>
      <c r="B21">
        <v>5</v>
      </c>
      <c r="C21">
        <v>215841.32231404999</v>
      </c>
      <c r="D21">
        <v>9721.7851239669399</v>
      </c>
      <c r="E21">
        <v>45518.677685950403</v>
      </c>
      <c r="F21">
        <v>5</v>
      </c>
      <c r="G21" s="3">
        <v>2014</v>
      </c>
      <c r="H21" s="3">
        <v>5</v>
      </c>
      <c r="I21" s="50">
        <f t="shared" si="2"/>
        <v>271081.78512396733</v>
      </c>
      <c r="J21" s="50">
        <v>574016.52892562002</v>
      </c>
      <c r="K21" s="50">
        <v>594069.42148760299</v>
      </c>
      <c r="L21" s="40">
        <f t="shared" si="3"/>
        <v>20052.892561982968</v>
      </c>
    </row>
    <row r="22" spans="1:14" x14ac:dyDescent="0.25">
      <c r="A22">
        <v>2014</v>
      </c>
      <c r="B22" s="43">
        <v>6</v>
      </c>
      <c r="C22" s="43">
        <v>372000</v>
      </c>
      <c r="D22" s="43">
        <v>4914.1289256198297</v>
      </c>
      <c r="E22" s="43">
        <v>37701.818181818198</v>
      </c>
      <c r="F22" s="43">
        <v>6</v>
      </c>
      <c r="G22" s="15">
        <v>2014</v>
      </c>
      <c r="H22" s="15">
        <v>6</v>
      </c>
      <c r="I22" s="51">
        <f t="shared" si="2"/>
        <v>414615.947107438</v>
      </c>
      <c r="J22" s="51">
        <v>487755.37190082599</v>
      </c>
      <c r="K22" s="51">
        <v>775378.51239669404</v>
      </c>
      <c r="L22" s="41">
        <f t="shared" si="3"/>
        <v>287623.14049586805</v>
      </c>
    </row>
    <row r="23" spans="1:14" x14ac:dyDescent="0.25">
      <c r="A23">
        <v>2014</v>
      </c>
      <c r="B23">
        <v>7</v>
      </c>
      <c r="C23">
        <v>113771.900826446</v>
      </c>
      <c r="D23">
        <v>1514.55867768595</v>
      </c>
      <c r="E23">
        <v>8788.5619834710706</v>
      </c>
      <c r="F23">
        <v>7</v>
      </c>
      <c r="G23" s="3">
        <v>2014</v>
      </c>
      <c r="H23" s="3">
        <v>7</v>
      </c>
      <c r="I23" s="50">
        <f t="shared" si="2"/>
        <v>124075.02148760302</v>
      </c>
      <c r="J23" s="50">
        <v>77740.165289256198</v>
      </c>
      <c r="K23" s="50">
        <v>208423.14049586799</v>
      </c>
      <c r="L23" s="40">
        <f t="shared" si="3"/>
        <v>130682.97520661179</v>
      </c>
    </row>
    <row r="24" spans="1:14" x14ac:dyDescent="0.25">
      <c r="A24">
        <v>2014</v>
      </c>
      <c r="B24">
        <v>8</v>
      </c>
      <c r="C24">
        <v>111213.223140496</v>
      </c>
      <c r="D24">
        <v>4902.3471074380204</v>
      </c>
      <c r="E24">
        <v>7880.9256198347102</v>
      </c>
      <c r="F24">
        <v>8</v>
      </c>
      <c r="G24" s="3">
        <v>2014</v>
      </c>
      <c r="H24" s="3">
        <v>8</v>
      </c>
      <c r="I24" s="50">
        <f t="shared" si="2"/>
        <v>123996.49586776874</v>
      </c>
      <c r="J24" s="50">
        <v>44175.867768595002</v>
      </c>
      <c r="K24" s="50">
        <v>190373.55371900799</v>
      </c>
      <c r="L24" s="40">
        <f t="shared" si="3"/>
        <v>146197.685950413</v>
      </c>
    </row>
    <row r="25" spans="1:14" x14ac:dyDescent="0.25">
      <c r="A25">
        <v>2014</v>
      </c>
      <c r="B25">
        <v>9</v>
      </c>
      <c r="C25">
        <v>91378.512396694205</v>
      </c>
      <c r="D25">
        <v>6679.7355371900803</v>
      </c>
      <c r="E25">
        <v>16493.355371900801</v>
      </c>
      <c r="F25">
        <v>9</v>
      </c>
      <c r="G25" s="3">
        <v>2014</v>
      </c>
      <c r="H25" s="3">
        <v>9</v>
      </c>
      <c r="I25" s="50">
        <f t="shared" si="2"/>
        <v>114551.60330578509</v>
      </c>
      <c r="J25" s="50">
        <v>35869.090909090897</v>
      </c>
      <c r="K25" s="50">
        <v>170003.30578512399</v>
      </c>
      <c r="L25" s="40">
        <f t="shared" si="3"/>
        <v>134134.21487603307</v>
      </c>
    </row>
    <row r="26" spans="1:14" x14ac:dyDescent="0.25">
      <c r="A26">
        <v>2013</v>
      </c>
      <c r="B26">
        <v>10</v>
      </c>
      <c r="C26">
        <v>42604.958677686001</v>
      </c>
      <c r="D26">
        <v>4590.3471074380204</v>
      </c>
      <c r="E26">
        <v>3994.9090909090901</v>
      </c>
      <c r="F26">
        <v>10</v>
      </c>
      <c r="G26" s="3">
        <v>2013</v>
      </c>
      <c r="H26" s="3">
        <v>10</v>
      </c>
      <c r="I26" s="50">
        <f t="shared" si="2"/>
        <v>51190.214876033111</v>
      </c>
      <c r="J26" s="50">
        <v>42628.760330578501</v>
      </c>
      <c r="K26" s="50">
        <v>108218.181818182</v>
      </c>
      <c r="L26" s="40">
        <f t="shared" si="3"/>
        <v>65589.421487603497</v>
      </c>
      <c r="N26" t="s">
        <v>47</v>
      </c>
    </row>
    <row r="27" spans="1:14" x14ac:dyDescent="0.25">
      <c r="A27">
        <v>2013</v>
      </c>
      <c r="B27">
        <v>11</v>
      </c>
      <c r="C27">
        <v>51588.099173553703</v>
      </c>
      <c r="D27">
        <v>4612.7603305785096</v>
      </c>
      <c r="E27">
        <v>5829.0247933884302</v>
      </c>
      <c r="F27">
        <v>11</v>
      </c>
      <c r="G27" s="3">
        <v>2013</v>
      </c>
      <c r="H27" s="3">
        <v>11</v>
      </c>
      <c r="I27" s="50">
        <f t="shared" si="2"/>
        <v>62029.884297520643</v>
      </c>
      <c r="J27" s="50">
        <v>35446.6115702479</v>
      </c>
      <c r="K27" s="50">
        <v>92112.396694214898</v>
      </c>
      <c r="L27" s="40">
        <f t="shared" si="3"/>
        <v>56665.785123966998</v>
      </c>
    </row>
    <row r="28" spans="1:14" x14ac:dyDescent="0.25">
      <c r="A28">
        <v>2013</v>
      </c>
      <c r="B28">
        <v>12</v>
      </c>
      <c r="C28">
        <v>62098.512396694197</v>
      </c>
      <c r="D28">
        <v>2633.0578512396701</v>
      </c>
      <c r="E28">
        <v>2325.8181818181802</v>
      </c>
      <c r="F28">
        <v>12</v>
      </c>
      <c r="G28" s="3">
        <v>2013</v>
      </c>
      <c r="H28" s="3">
        <v>12</v>
      </c>
      <c r="I28" s="50">
        <f t="shared" si="2"/>
        <v>67057.388429752042</v>
      </c>
      <c r="J28" s="50">
        <v>23658.8429752066</v>
      </c>
      <c r="K28" s="50">
        <v>66480</v>
      </c>
      <c r="L28" s="40">
        <f t="shared" si="3"/>
        <v>42821.1570247934</v>
      </c>
    </row>
    <row r="29" spans="1:14" x14ac:dyDescent="0.25">
      <c r="G29" s="3"/>
      <c r="H29" s="3"/>
      <c r="I29" s="50">
        <f>SUM(I17:I28)</f>
        <v>1571061.2826446285</v>
      </c>
      <c r="J29" s="50">
        <f>SUM(J17:J28)</f>
        <v>1687455.8677685943</v>
      </c>
      <c r="K29" s="50">
        <f>SUM(K17:K28)</f>
        <v>2798810.5785123967</v>
      </c>
      <c r="L29" s="36">
        <f>SUM(L17:L28)</f>
        <v>1111354.7107438019</v>
      </c>
    </row>
    <row r="30" spans="1:14" ht="15.75" thickBot="1" x14ac:dyDescent="0.3">
      <c r="G30" s="3"/>
      <c r="H30" s="3"/>
      <c r="I30" s="50"/>
      <c r="J30" s="50"/>
      <c r="K30" s="50"/>
      <c r="L30" s="36"/>
    </row>
    <row r="31" spans="1:14" ht="13.9" customHeight="1" x14ac:dyDescent="0.25">
      <c r="A31" s="49" t="s">
        <v>1</v>
      </c>
      <c r="B31" s="48" t="s">
        <v>0</v>
      </c>
      <c r="C31" s="48" t="s">
        <v>46</v>
      </c>
      <c r="D31" s="48" t="s">
        <v>45</v>
      </c>
      <c r="E31" s="48" t="s">
        <v>44</v>
      </c>
      <c r="F31" s="48"/>
      <c r="G31" s="47" t="s">
        <v>1</v>
      </c>
      <c r="H31" s="46" t="s">
        <v>0</v>
      </c>
      <c r="I31" s="45" t="s">
        <v>43</v>
      </c>
      <c r="J31" s="45" t="s">
        <v>42</v>
      </c>
      <c r="K31" s="45" t="s">
        <v>41</v>
      </c>
      <c r="L31" s="44" t="s">
        <v>40</v>
      </c>
    </row>
    <row r="32" spans="1:14" x14ac:dyDescent="0.25">
      <c r="A32" s="39">
        <v>2017</v>
      </c>
      <c r="B32">
        <v>1</v>
      </c>
      <c r="C32">
        <v>47270.082644628099</v>
      </c>
      <c r="D32">
        <v>5116.3636363636397</v>
      </c>
      <c r="E32">
        <v>2323.4380165289299</v>
      </c>
      <c r="F32">
        <v>1</v>
      </c>
      <c r="G32" s="20">
        <v>2017</v>
      </c>
      <c r="H32" s="3">
        <v>1</v>
      </c>
      <c r="I32" s="38">
        <f t="shared" ref="I32:I43" si="4">SUM(C32:E32)</f>
        <v>54709.884297520672</v>
      </c>
      <c r="J32" s="38">
        <v>26705.4545454545</v>
      </c>
      <c r="K32" s="38">
        <v>149494.21487603299</v>
      </c>
      <c r="L32" s="40">
        <f t="shared" ref="L32:L43" si="5">K32-J32</f>
        <v>122788.76033057849</v>
      </c>
    </row>
    <row r="33" spans="1:14" x14ac:dyDescent="0.25">
      <c r="A33" s="39">
        <v>2017</v>
      </c>
      <c r="B33">
        <v>2</v>
      </c>
      <c r="C33">
        <v>44429.752066115703</v>
      </c>
      <c r="D33">
        <v>5496.19834710744</v>
      </c>
      <c r="E33">
        <v>52268.628099173598</v>
      </c>
      <c r="F33">
        <v>2</v>
      </c>
      <c r="G33" s="20">
        <v>2017</v>
      </c>
      <c r="H33" s="3">
        <v>2</v>
      </c>
      <c r="I33" s="38">
        <f t="shared" si="4"/>
        <v>102194.57851239675</v>
      </c>
      <c r="J33" s="38">
        <v>27330.2479338843</v>
      </c>
      <c r="K33" s="38">
        <v>188608.26446281001</v>
      </c>
      <c r="L33" s="40">
        <f t="shared" si="5"/>
        <v>161278.01652892571</v>
      </c>
    </row>
    <row r="34" spans="1:14" x14ac:dyDescent="0.25">
      <c r="A34" s="39">
        <v>2017</v>
      </c>
      <c r="B34">
        <v>3</v>
      </c>
      <c r="C34">
        <v>161585.454545455</v>
      </c>
      <c r="D34">
        <v>7980.6942148760299</v>
      </c>
      <c r="E34">
        <v>141302.479338843</v>
      </c>
      <c r="F34">
        <v>3</v>
      </c>
      <c r="G34" s="20">
        <v>2017</v>
      </c>
      <c r="H34" s="3">
        <v>3</v>
      </c>
      <c r="I34" s="38">
        <f t="shared" si="4"/>
        <v>310868.62809917401</v>
      </c>
      <c r="J34" s="38">
        <v>107016.198347107</v>
      </c>
      <c r="K34" s="38">
        <v>408456.19834710698</v>
      </c>
      <c r="L34" s="40">
        <f t="shared" si="5"/>
        <v>301440</v>
      </c>
    </row>
    <row r="35" spans="1:14" x14ac:dyDescent="0.25">
      <c r="A35" s="39">
        <v>2017</v>
      </c>
      <c r="B35">
        <v>4</v>
      </c>
      <c r="C35">
        <v>318327.272727273</v>
      </c>
      <c r="D35">
        <v>8949.4214876033093</v>
      </c>
      <c r="E35">
        <v>85275.371900826402</v>
      </c>
      <c r="F35">
        <v>4</v>
      </c>
      <c r="G35" s="20">
        <v>2017</v>
      </c>
      <c r="H35" s="3">
        <v>4</v>
      </c>
      <c r="I35" s="38">
        <f t="shared" si="4"/>
        <v>412552.06611570274</v>
      </c>
      <c r="J35" s="38">
        <v>218261.15702479301</v>
      </c>
      <c r="K35" s="38">
        <v>744793.38842975197</v>
      </c>
      <c r="L35" s="40">
        <f t="shared" si="5"/>
        <v>526532.23140495899</v>
      </c>
    </row>
    <row r="36" spans="1:14" x14ac:dyDescent="0.25">
      <c r="A36" s="39">
        <v>2017</v>
      </c>
      <c r="B36">
        <v>5</v>
      </c>
      <c r="C36">
        <v>410558.67768595001</v>
      </c>
      <c r="D36">
        <v>17974.2148760331</v>
      </c>
      <c r="E36">
        <v>123530.578512397</v>
      </c>
      <c r="F36">
        <v>5</v>
      </c>
      <c r="G36" s="20">
        <v>2017</v>
      </c>
      <c r="H36" s="3">
        <v>5</v>
      </c>
      <c r="I36" s="38">
        <f t="shared" si="4"/>
        <v>552063.4710743801</v>
      </c>
      <c r="J36" s="38">
        <v>387907.43801652902</v>
      </c>
      <c r="K36" s="38">
        <v>857256.19834710704</v>
      </c>
      <c r="L36" s="40">
        <f t="shared" si="5"/>
        <v>469348.76033057802</v>
      </c>
    </row>
    <row r="37" spans="1:14" x14ac:dyDescent="0.25">
      <c r="A37" s="39">
        <v>2017</v>
      </c>
      <c r="B37" s="43">
        <v>6</v>
      </c>
      <c r="C37" s="43">
        <v>563603.30578512396</v>
      </c>
      <c r="D37" s="43">
        <v>14508.099173553701</v>
      </c>
      <c r="E37" s="43">
        <v>80040.991735537202</v>
      </c>
      <c r="F37" s="43">
        <v>6</v>
      </c>
      <c r="G37" s="14">
        <v>2017</v>
      </c>
      <c r="H37" s="15">
        <v>6</v>
      </c>
      <c r="I37" s="42">
        <f t="shared" si="4"/>
        <v>658152.3966942149</v>
      </c>
      <c r="J37" s="42">
        <v>385190.08264462801</v>
      </c>
      <c r="K37" s="42">
        <v>858842.97520661203</v>
      </c>
      <c r="L37" s="41">
        <f t="shared" si="5"/>
        <v>473652.89256198402</v>
      </c>
    </row>
    <row r="38" spans="1:14" x14ac:dyDescent="0.25">
      <c r="A38" s="39">
        <v>2017</v>
      </c>
      <c r="B38">
        <v>7</v>
      </c>
      <c r="C38">
        <v>347424.79338842997</v>
      </c>
      <c r="D38">
        <v>4983.2727272727298</v>
      </c>
      <c r="E38">
        <v>14207.6033057851</v>
      </c>
      <c r="F38">
        <v>7</v>
      </c>
      <c r="G38" s="20">
        <v>2017</v>
      </c>
      <c r="H38" s="3">
        <v>7</v>
      </c>
      <c r="I38" s="38">
        <f t="shared" si="4"/>
        <v>366615.66942148778</v>
      </c>
      <c r="J38" s="38">
        <v>51522.644628099202</v>
      </c>
      <c r="K38" s="38">
        <v>314757.02479338797</v>
      </c>
      <c r="L38" s="40">
        <f t="shared" si="5"/>
        <v>263234.38016528875</v>
      </c>
    </row>
    <row r="39" spans="1:14" x14ac:dyDescent="0.25">
      <c r="A39" s="39">
        <v>2017</v>
      </c>
      <c r="B39">
        <v>8</v>
      </c>
      <c r="C39">
        <v>161732.23140495899</v>
      </c>
      <c r="D39">
        <v>4348.1652892561997</v>
      </c>
      <c r="E39">
        <v>4912.2644628099197</v>
      </c>
      <c r="F39">
        <v>8</v>
      </c>
      <c r="G39" s="20">
        <v>2017</v>
      </c>
      <c r="H39" s="3">
        <v>8</v>
      </c>
      <c r="I39" s="38">
        <f t="shared" si="4"/>
        <v>170992.66115702511</v>
      </c>
      <c r="J39" s="38">
        <v>16758.347107438</v>
      </c>
      <c r="K39" s="38">
        <v>173454.545454545</v>
      </c>
      <c r="L39" s="40">
        <f t="shared" si="5"/>
        <v>156696.19834710701</v>
      </c>
    </row>
    <row r="40" spans="1:14" x14ac:dyDescent="0.25">
      <c r="A40" s="39">
        <v>2017</v>
      </c>
      <c r="B40">
        <v>9</v>
      </c>
      <c r="C40">
        <v>72912.396694214898</v>
      </c>
      <c r="D40">
        <v>3193.9834710743798</v>
      </c>
      <c r="E40">
        <v>7851.5702479338797</v>
      </c>
      <c r="F40">
        <v>9</v>
      </c>
      <c r="G40" s="20">
        <v>2017</v>
      </c>
      <c r="H40" s="3">
        <v>9</v>
      </c>
      <c r="I40" s="38">
        <f t="shared" si="4"/>
        <v>83957.950413223152</v>
      </c>
      <c r="J40" s="38">
        <v>10681.9834710744</v>
      </c>
      <c r="K40" s="38">
        <v>160740.495867769</v>
      </c>
      <c r="L40" s="40">
        <f t="shared" si="5"/>
        <v>150058.5123966946</v>
      </c>
    </row>
    <row r="41" spans="1:14" x14ac:dyDescent="0.25">
      <c r="A41" s="39">
        <v>2016</v>
      </c>
      <c r="B41">
        <v>10</v>
      </c>
      <c r="C41">
        <v>54444.297520661203</v>
      </c>
      <c r="D41">
        <v>5184</v>
      </c>
      <c r="E41">
        <v>5963.5041322314</v>
      </c>
      <c r="F41">
        <v>10</v>
      </c>
      <c r="G41" s="20">
        <v>2016</v>
      </c>
      <c r="H41" s="3">
        <v>10</v>
      </c>
      <c r="I41" s="38">
        <f t="shared" si="4"/>
        <v>65591.801652892609</v>
      </c>
      <c r="J41" s="38">
        <v>23458.512396694201</v>
      </c>
      <c r="K41" s="38">
        <v>119404.95867768599</v>
      </c>
      <c r="L41" s="40">
        <f t="shared" si="5"/>
        <v>95946.44628099179</v>
      </c>
      <c r="N41" t="s">
        <v>39</v>
      </c>
    </row>
    <row r="42" spans="1:14" x14ac:dyDescent="0.25">
      <c r="A42" s="39">
        <v>2016</v>
      </c>
      <c r="B42">
        <v>11</v>
      </c>
      <c r="C42">
        <v>61303.140495867803</v>
      </c>
      <c r="D42">
        <v>5440.4628099173597</v>
      </c>
      <c r="E42">
        <v>5498.5785123966898</v>
      </c>
      <c r="F42">
        <v>11</v>
      </c>
      <c r="G42" s="20">
        <v>2016</v>
      </c>
      <c r="H42" s="3">
        <v>11</v>
      </c>
      <c r="I42" s="38">
        <f t="shared" si="4"/>
        <v>72242.181818181853</v>
      </c>
      <c r="J42" s="38">
        <v>25047.272727272699</v>
      </c>
      <c r="K42" s="38">
        <v>112323.966942149</v>
      </c>
      <c r="L42" s="40">
        <f t="shared" si="5"/>
        <v>87276.694214876305</v>
      </c>
    </row>
    <row r="43" spans="1:14" x14ac:dyDescent="0.25">
      <c r="A43" s="39">
        <v>2016</v>
      </c>
      <c r="B43">
        <v>12</v>
      </c>
      <c r="C43">
        <v>56033.057851239697</v>
      </c>
      <c r="D43">
        <v>5482.7107438016501</v>
      </c>
      <c r="E43">
        <v>2702.6776859504098</v>
      </c>
      <c r="F43">
        <v>12</v>
      </c>
      <c r="G43" s="20">
        <v>2016</v>
      </c>
      <c r="H43" s="3">
        <v>12</v>
      </c>
      <c r="I43" s="38">
        <f t="shared" si="4"/>
        <v>64218.446280991753</v>
      </c>
      <c r="J43" s="38">
        <v>20979.173553719</v>
      </c>
      <c r="K43" s="38">
        <v>136403.30578512399</v>
      </c>
      <c r="L43" s="40">
        <f t="shared" si="5"/>
        <v>115424.13223140499</v>
      </c>
    </row>
    <row r="44" spans="1:14" x14ac:dyDescent="0.25">
      <c r="A44" s="39"/>
      <c r="G44" s="20"/>
      <c r="H44" s="3"/>
      <c r="I44" s="38"/>
      <c r="J44" s="38"/>
      <c r="K44" s="38"/>
      <c r="L44" s="36"/>
    </row>
    <row r="45" spans="1:14" x14ac:dyDescent="0.25">
      <c r="A45" s="39"/>
      <c r="G45" s="20"/>
      <c r="H45" s="3"/>
      <c r="I45" s="38">
        <f>SUM(I32:I43)</f>
        <v>2914159.7355371914</v>
      </c>
      <c r="J45" s="38">
        <f>SUM(J32:J43)</f>
        <v>1300858.512396693</v>
      </c>
      <c r="K45" s="37">
        <f>SUM(K32:K43)</f>
        <v>4224535.5371900825</v>
      </c>
      <c r="L45" s="36">
        <f>SUM(L32:L43)</f>
        <v>2923677.0247933888</v>
      </c>
    </row>
    <row r="46" spans="1:14" ht="15.75" thickBot="1" x14ac:dyDescent="0.3">
      <c r="A46" s="35"/>
      <c r="B46" s="34"/>
      <c r="C46" s="34"/>
      <c r="D46" s="34"/>
      <c r="E46" s="34"/>
      <c r="F46" s="34"/>
      <c r="G46" s="35"/>
      <c r="H46" s="34"/>
      <c r="I46" s="33"/>
      <c r="J46" s="33"/>
      <c r="K46" s="33"/>
      <c r="L46" s="32"/>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1A3D-30E0-4BA5-86C5-EB76347847F1}">
  <sheetPr codeName="Sheet4"/>
  <dimension ref="A1:W318"/>
  <sheetViews>
    <sheetView tabSelected="1" topLeftCell="F1" zoomScale="115" zoomScaleNormal="115" workbookViewId="0">
      <selection activeCell="R28" sqref="R28"/>
    </sheetView>
  </sheetViews>
  <sheetFormatPr defaultRowHeight="15" x14ac:dyDescent="0.25"/>
  <cols>
    <col min="1" max="2" width="15.28515625" style="76" customWidth="1"/>
    <col min="4" max="4" width="17.7109375" bestFit="1" customWidth="1"/>
    <col min="7" max="7" width="12.42578125" customWidth="1"/>
    <col min="8" max="8" width="11" bestFit="1" customWidth="1"/>
    <col min="9" max="9" width="14.140625" customWidth="1"/>
    <col min="10" max="10" width="12" bestFit="1" customWidth="1"/>
    <col min="11" max="12" width="11" bestFit="1" customWidth="1"/>
    <col min="13" max="13" width="11" customWidth="1"/>
    <col min="14" max="14" width="11" bestFit="1" customWidth="1"/>
    <col min="15" max="15" width="11" customWidth="1"/>
    <col min="16" max="16" width="10.28515625" customWidth="1"/>
  </cols>
  <sheetData>
    <row r="1" spans="1:23" ht="30" x14ac:dyDescent="0.25">
      <c r="A1" s="76" t="s">
        <v>58</v>
      </c>
      <c r="B1" s="76" t="s">
        <v>58</v>
      </c>
      <c r="C1" t="s">
        <v>15</v>
      </c>
      <c r="D1" t="s">
        <v>59</v>
      </c>
      <c r="H1" s="3" t="s">
        <v>60</v>
      </c>
      <c r="I1" s="3">
        <v>2016</v>
      </c>
      <c r="J1" s="3">
        <v>2017</v>
      </c>
      <c r="K1" s="3">
        <v>2018</v>
      </c>
      <c r="L1" s="3">
        <v>2019</v>
      </c>
      <c r="M1" s="3">
        <v>2020</v>
      </c>
      <c r="N1" t="s">
        <v>61</v>
      </c>
      <c r="P1" s="68" t="s">
        <v>166</v>
      </c>
      <c r="Q1" s="77" t="s">
        <v>62</v>
      </c>
      <c r="R1" s="78">
        <v>2016</v>
      </c>
      <c r="S1" s="78">
        <v>2017</v>
      </c>
      <c r="T1" s="78">
        <v>2018</v>
      </c>
      <c r="U1" s="78">
        <v>2019</v>
      </c>
      <c r="V1" s="78">
        <v>2020</v>
      </c>
      <c r="W1" s="79" t="s">
        <v>61</v>
      </c>
    </row>
    <row r="2" spans="1:23" x14ac:dyDescent="0.25">
      <c r="C2">
        <f>C14</f>
        <v>2168</v>
      </c>
      <c r="D2" s="80">
        <f>C2*86400</f>
        <v>187315200</v>
      </c>
      <c r="G2" t="s">
        <v>19</v>
      </c>
      <c r="H2">
        <v>1</v>
      </c>
      <c r="I2">
        <v>5832604800</v>
      </c>
      <c r="J2">
        <v>4794336000</v>
      </c>
      <c r="K2">
        <v>7641561600</v>
      </c>
      <c r="L2">
        <v>5396803200</v>
      </c>
      <c r="M2">
        <v>5811955200</v>
      </c>
      <c r="N2">
        <f>MIN(I2:M2)</f>
        <v>4794336000</v>
      </c>
      <c r="Q2" s="3" t="s">
        <v>19</v>
      </c>
      <c r="R2" s="75">
        <f>I2/43560</f>
        <v>133898.18181818182</v>
      </c>
      <c r="S2" s="75">
        <f t="shared" ref="S2:W13" si="0">J2/43560</f>
        <v>110062.80991735538</v>
      </c>
      <c r="T2" s="75">
        <f t="shared" si="0"/>
        <v>175426.11570247935</v>
      </c>
      <c r="U2" s="75">
        <f t="shared" si="0"/>
        <v>123893.55371900827</v>
      </c>
      <c r="V2" s="75">
        <f t="shared" si="0"/>
        <v>133424.13223140495</v>
      </c>
      <c r="W2" s="75">
        <f t="shared" si="0"/>
        <v>110062.80991735538</v>
      </c>
    </row>
    <row r="3" spans="1:23" x14ac:dyDescent="0.25">
      <c r="G3" t="s">
        <v>21</v>
      </c>
      <c r="H3">
        <v>2</v>
      </c>
      <c r="I3">
        <v>5159289600</v>
      </c>
      <c r="J3">
        <v>4745088000</v>
      </c>
      <c r="K3">
        <v>6770995200</v>
      </c>
      <c r="L3">
        <v>4884019200</v>
      </c>
      <c r="M3">
        <v>5392224000</v>
      </c>
      <c r="N3">
        <f t="shared" ref="N3:N11" si="1">MIN(I3:M3)</f>
        <v>4745088000</v>
      </c>
      <c r="Q3" s="3" t="s">
        <v>21</v>
      </c>
      <c r="R3" s="75">
        <f t="shared" ref="R3:R13" si="2">I3/43560</f>
        <v>118440.99173553719</v>
      </c>
      <c r="S3" s="75">
        <f t="shared" si="0"/>
        <v>108932.23140495867</v>
      </c>
      <c r="T3" s="75">
        <f t="shared" si="0"/>
        <v>155440.66115702479</v>
      </c>
      <c r="U3" s="75">
        <f t="shared" si="0"/>
        <v>112121.65289256198</v>
      </c>
      <c r="V3" s="75">
        <f t="shared" si="0"/>
        <v>123788.42975206612</v>
      </c>
      <c r="W3" s="75">
        <f t="shared" si="0"/>
        <v>108932.23140495867</v>
      </c>
    </row>
    <row r="4" spans="1:23" x14ac:dyDescent="0.25">
      <c r="G4" t="s">
        <v>20</v>
      </c>
      <c r="H4">
        <v>3</v>
      </c>
      <c r="I4">
        <v>2210457600</v>
      </c>
      <c r="J4">
        <v>11152857600</v>
      </c>
      <c r="K4">
        <v>4605465600</v>
      </c>
      <c r="L4">
        <v>2523571200</v>
      </c>
      <c r="M4">
        <v>5200675200</v>
      </c>
      <c r="N4">
        <f t="shared" si="1"/>
        <v>2210457600</v>
      </c>
      <c r="Q4" s="3" t="s">
        <v>63</v>
      </c>
      <c r="R4" s="75">
        <f t="shared" si="2"/>
        <v>50745.123966942148</v>
      </c>
      <c r="S4" s="75">
        <f t="shared" si="0"/>
        <v>256034.38016528924</v>
      </c>
      <c r="T4" s="75">
        <f t="shared" si="0"/>
        <v>105726.94214876032</v>
      </c>
      <c r="U4" s="75">
        <f t="shared" si="0"/>
        <v>57933.223140495866</v>
      </c>
      <c r="V4" s="75">
        <f t="shared" si="0"/>
        <v>119391.07438016529</v>
      </c>
      <c r="W4" s="75">
        <f t="shared" si="0"/>
        <v>50745.123966942148</v>
      </c>
    </row>
    <row r="5" spans="1:23" x14ac:dyDescent="0.25">
      <c r="G5" t="s">
        <v>22</v>
      </c>
      <c r="H5">
        <v>4</v>
      </c>
      <c r="I5">
        <v>2166307200</v>
      </c>
      <c r="J5">
        <v>11653977600</v>
      </c>
      <c r="K5">
        <v>4408387200</v>
      </c>
      <c r="L5">
        <v>3073593600</v>
      </c>
      <c r="M5">
        <v>4889721600</v>
      </c>
      <c r="N5">
        <f t="shared" si="1"/>
        <v>2166307200</v>
      </c>
      <c r="Q5" s="3" t="s">
        <v>22</v>
      </c>
      <c r="R5" s="75">
        <f t="shared" si="2"/>
        <v>49731.570247933887</v>
      </c>
      <c r="S5" s="75">
        <f t="shared" si="0"/>
        <v>267538.51239669422</v>
      </c>
      <c r="T5" s="75">
        <f t="shared" si="0"/>
        <v>101202.64462809918</v>
      </c>
      <c r="U5" s="75">
        <f t="shared" si="0"/>
        <v>70560</v>
      </c>
      <c r="V5" s="75">
        <f t="shared" si="0"/>
        <v>112252.56198347108</v>
      </c>
      <c r="W5" s="75">
        <f t="shared" si="0"/>
        <v>49731.570247933887</v>
      </c>
    </row>
    <row r="6" spans="1:23" x14ac:dyDescent="0.25">
      <c r="G6" t="s">
        <v>23</v>
      </c>
      <c r="H6">
        <v>5</v>
      </c>
      <c r="I6">
        <v>2256681600</v>
      </c>
      <c r="J6">
        <v>12092544000</v>
      </c>
      <c r="K6">
        <v>7121952000</v>
      </c>
      <c r="L6">
        <v>4295376000</v>
      </c>
      <c r="M6">
        <v>4260038400</v>
      </c>
      <c r="N6">
        <f t="shared" si="1"/>
        <v>2256681600</v>
      </c>
      <c r="Q6" s="3" t="s">
        <v>23</v>
      </c>
      <c r="R6" s="75">
        <f t="shared" si="2"/>
        <v>51806.280991735541</v>
      </c>
      <c r="S6" s="75">
        <f t="shared" si="0"/>
        <v>277606.61157024791</v>
      </c>
      <c r="T6" s="75">
        <f t="shared" si="0"/>
        <v>163497.52066115703</v>
      </c>
      <c r="U6" s="75">
        <f t="shared" si="0"/>
        <v>98608.264462809922</v>
      </c>
      <c r="V6" s="75">
        <f t="shared" si="0"/>
        <v>97797.024793388424</v>
      </c>
      <c r="W6" s="75">
        <f t="shared" si="0"/>
        <v>51806.280991735541</v>
      </c>
    </row>
    <row r="7" spans="1:23" x14ac:dyDescent="0.25">
      <c r="G7" t="s">
        <v>24</v>
      </c>
      <c r="H7">
        <v>6</v>
      </c>
      <c r="I7">
        <v>11767939200</v>
      </c>
      <c r="J7">
        <v>11464156800</v>
      </c>
      <c r="K7">
        <v>5430240000</v>
      </c>
      <c r="L7">
        <v>9370857600</v>
      </c>
      <c r="M7">
        <v>6819292800</v>
      </c>
      <c r="N7">
        <f t="shared" si="1"/>
        <v>5430240000</v>
      </c>
      <c r="Q7" s="3" t="s">
        <v>24</v>
      </c>
      <c r="R7" s="75">
        <f t="shared" si="2"/>
        <v>270154.71074380167</v>
      </c>
      <c r="S7" s="75">
        <f t="shared" si="0"/>
        <v>263180.82644628099</v>
      </c>
      <c r="T7" s="75">
        <f t="shared" si="0"/>
        <v>124661.15702479339</v>
      </c>
      <c r="U7" s="75">
        <f t="shared" si="0"/>
        <v>215125.28925619836</v>
      </c>
      <c r="V7" s="75">
        <f t="shared" si="0"/>
        <v>156549.42148760331</v>
      </c>
      <c r="W7" s="75">
        <f t="shared" si="0"/>
        <v>124661.15702479339</v>
      </c>
    </row>
    <row r="8" spans="1:23" x14ac:dyDescent="0.25">
      <c r="G8" t="s">
        <v>26</v>
      </c>
      <c r="H8">
        <v>7</v>
      </c>
      <c r="I8">
        <v>5033232000</v>
      </c>
      <c r="J8">
        <v>7855228800</v>
      </c>
      <c r="K8">
        <v>5216745600</v>
      </c>
      <c r="L8">
        <v>4338576000</v>
      </c>
      <c r="M8">
        <v>3907699200</v>
      </c>
      <c r="N8">
        <f t="shared" si="1"/>
        <v>3907699200</v>
      </c>
      <c r="Q8" s="3" t="s">
        <v>26</v>
      </c>
      <c r="R8" s="75">
        <f t="shared" si="2"/>
        <v>115547.10743801652</v>
      </c>
      <c r="S8" s="75">
        <f t="shared" si="0"/>
        <v>180331.23966942148</v>
      </c>
      <c r="T8" s="75">
        <f t="shared" si="0"/>
        <v>119760</v>
      </c>
      <c r="U8" s="75">
        <f t="shared" si="0"/>
        <v>99600</v>
      </c>
      <c r="V8" s="75">
        <f t="shared" si="0"/>
        <v>89708.42975206612</v>
      </c>
      <c r="W8" s="75">
        <f t="shared" si="0"/>
        <v>89708.42975206612</v>
      </c>
    </row>
    <row r="9" spans="1:23" x14ac:dyDescent="0.25">
      <c r="G9" t="s">
        <v>28</v>
      </c>
      <c r="H9">
        <v>8</v>
      </c>
      <c r="I9">
        <v>4807987200</v>
      </c>
      <c r="J9">
        <v>6219417600</v>
      </c>
      <c r="K9">
        <v>5393347200</v>
      </c>
      <c r="L9">
        <v>4734720000</v>
      </c>
      <c r="M9">
        <v>4892918400</v>
      </c>
      <c r="N9">
        <f t="shared" si="1"/>
        <v>4734720000</v>
      </c>
      <c r="Q9" s="3" t="s">
        <v>64</v>
      </c>
      <c r="R9" s="75">
        <f t="shared" si="2"/>
        <v>110376.19834710743</v>
      </c>
      <c r="S9" s="75">
        <f t="shared" si="0"/>
        <v>142778.18181818182</v>
      </c>
      <c r="T9" s="75">
        <f t="shared" si="0"/>
        <v>123814.21487603306</v>
      </c>
      <c r="U9" s="75">
        <f t="shared" si="0"/>
        <v>108694.21487603306</v>
      </c>
      <c r="V9" s="75">
        <f t="shared" si="0"/>
        <v>112325.95041322314</v>
      </c>
      <c r="W9" s="75">
        <f t="shared" si="0"/>
        <v>108694.21487603306</v>
      </c>
    </row>
    <row r="10" spans="1:23" x14ac:dyDescent="0.25">
      <c r="G10" t="s">
        <v>65</v>
      </c>
      <c r="H10">
        <v>9</v>
      </c>
      <c r="I10">
        <v>4643913600</v>
      </c>
      <c r="J10">
        <v>6139411200</v>
      </c>
      <c r="K10">
        <v>5197651200</v>
      </c>
      <c r="L10">
        <v>4934649600</v>
      </c>
      <c r="M10">
        <v>4287772800</v>
      </c>
      <c r="N10">
        <f t="shared" si="1"/>
        <v>4287772800</v>
      </c>
      <c r="Q10" s="3" t="s">
        <v>32</v>
      </c>
      <c r="R10" s="75">
        <f t="shared" si="2"/>
        <v>106609.58677685951</v>
      </c>
      <c r="S10" s="75">
        <f t="shared" si="0"/>
        <v>140941.48760330578</v>
      </c>
      <c r="T10" s="75">
        <f t="shared" si="0"/>
        <v>119321.65289256198</v>
      </c>
      <c r="U10" s="75">
        <f t="shared" si="0"/>
        <v>113283.96694214876</v>
      </c>
      <c r="V10" s="75">
        <f t="shared" si="0"/>
        <v>98433.719008264467</v>
      </c>
      <c r="W10" s="75">
        <f t="shared" si="0"/>
        <v>98433.719008264467</v>
      </c>
    </row>
    <row r="11" spans="1:23" x14ac:dyDescent="0.25">
      <c r="G11" t="s">
        <v>9</v>
      </c>
      <c r="H11">
        <v>10</v>
      </c>
      <c r="I11">
        <v>3719606400</v>
      </c>
      <c r="J11">
        <v>4647888000</v>
      </c>
      <c r="K11">
        <v>4294339200</v>
      </c>
      <c r="L11">
        <v>3492806400</v>
      </c>
      <c r="M11">
        <v>2779488000</v>
      </c>
      <c r="N11">
        <f t="shared" si="1"/>
        <v>2779488000</v>
      </c>
      <c r="Q11" s="3" t="s">
        <v>9</v>
      </c>
      <c r="R11" s="75">
        <f t="shared" si="2"/>
        <v>85390.413223140495</v>
      </c>
      <c r="S11" s="75">
        <f t="shared" si="0"/>
        <v>106700.82644628099</v>
      </c>
      <c r="T11" s="75">
        <f t="shared" si="0"/>
        <v>98584.462809917357</v>
      </c>
      <c r="U11" s="75">
        <f t="shared" si="0"/>
        <v>80183.801652892565</v>
      </c>
      <c r="V11" s="75">
        <f t="shared" si="0"/>
        <v>63808.264462809915</v>
      </c>
      <c r="W11" s="75">
        <f t="shared" si="0"/>
        <v>63808.264462809915</v>
      </c>
    </row>
    <row r="12" spans="1:23" x14ac:dyDescent="0.25">
      <c r="G12" t="s">
        <v>13</v>
      </c>
      <c r="H12">
        <v>11</v>
      </c>
      <c r="I12">
        <v>3363206400</v>
      </c>
      <c r="J12">
        <v>6056726400</v>
      </c>
      <c r="K12">
        <v>4044902400</v>
      </c>
      <c r="L12">
        <v>3538684800</v>
      </c>
      <c r="M12">
        <v>5719766400</v>
      </c>
      <c r="N12">
        <f>MIN(I12:M12)</f>
        <v>3363206400</v>
      </c>
      <c r="Q12" s="3" t="s">
        <v>13</v>
      </c>
      <c r="R12" s="75">
        <f t="shared" si="2"/>
        <v>77208.595041322318</v>
      </c>
      <c r="S12" s="75">
        <f t="shared" si="0"/>
        <v>139043.30578512396</v>
      </c>
      <c r="T12" s="75">
        <f t="shared" si="0"/>
        <v>92858.181818181823</v>
      </c>
      <c r="U12" s="75">
        <f t="shared" si="0"/>
        <v>81237.024793388424</v>
      </c>
      <c r="V12" s="75">
        <f t="shared" si="0"/>
        <v>131307.76859504133</v>
      </c>
      <c r="W12" s="75">
        <f t="shared" si="0"/>
        <v>77208.595041322318</v>
      </c>
    </row>
    <row r="13" spans="1:23" ht="17.45" customHeight="1" x14ac:dyDescent="0.25">
      <c r="G13" t="s">
        <v>66</v>
      </c>
      <c r="H13">
        <v>12</v>
      </c>
      <c r="I13">
        <v>4616870400</v>
      </c>
      <c r="J13">
        <v>7579958400</v>
      </c>
      <c r="K13">
        <v>5392828800</v>
      </c>
      <c r="L13">
        <v>5566838400</v>
      </c>
      <c r="M13">
        <v>5949590400</v>
      </c>
      <c r="N13">
        <f>MIN(I13:M13)</f>
        <v>4616870400</v>
      </c>
      <c r="Q13" s="78" t="s">
        <v>16</v>
      </c>
      <c r="R13" s="81">
        <f t="shared" si="2"/>
        <v>105988.76033057852</v>
      </c>
      <c r="S13" s="81">
        <f t="shared" si="0"/>
        <v>174011.90082644628</v>
      </c>
      <c r="T13" s="81">
        <f t="shared" si="0"/>
        <v>123802.31404958677</v>
      </c>
      <c r="U13" s="81">
        <f t="shared" si="0"/>
        <v>127797.02479338842</v>
      </c>
      <c r="V13" s="81">
        <f t="shared" si="0"/>
        <v>136583.80165289255</v>
      </c>
      <c r="W13" s="81">
        <f t="shared" si="0"/>
        <v>105988.76033057852</v>
      </c>
    </row>
    <row r="14" spans="1:23" x14ac:dyDescent="0.25">
      <c r="A14" s="76">
        <v>43831</v>
      </c>
      <c r="B14" s="76">
        <v>43831</v>
      </c>
      <c r="C14">
        <v>2168</v>
      </c>
      <c r="D14">
        <f t="shared" ref="D14:D77" si="3">C14*86400</f>
        <v>187315200</v>
      </c>
      <c r="F14" s="82"/>
    </row>
    <row r="15" spans="1:23" x14ac:dyDescent="0.25">
      <c r="A15" s="76">
        <v>43832</v>
      </c>
      <c r="B15" s="76">
        <v>43832</v>
      </c>
      <c r="C15">
        <v>2176</v>
      </c>
      <c r="D15">
        <f t="shared" si="3"/>
        <v>188006400</v>
      </c>
      <c r="W15" s="83">
        <f>SUM(W2:W13)</f>
        <v>1039781.1570247933</v>
      </c>
    </row>
    <row r="16" spans="1:23" x14ac:dyDescent="0.25">
      <c r="A16" s="76">
        <v>43833</v>
      </c>
      <c r="B16" s="76">
        <v>43833</v>
      </c>
      <c r="C16">
        <v>2183</v>
      </c>
      <c r="D16">
        <f t="shared" si="3"/>
        <v>188611200</v>
      </c>
    </row>
    <row r="17" spans="1:16" x14ac:dyDescent="0.25">
      <c r="A17" s="76">
        <v>43834</v>
      </c>
      <c r="B17" s="76">
        <v>43834</v>
      </c>
      <c r="C17">
        <v>2183</v>
      </c>
      <c r="D17">
        <f t="shared" si="3"/>
        <v>188611200</v>
      </c>
    </row>
    <row r="18" spans="1:16" x14ac:dyDescent="0.25">
      <c r="A18" s="76">
        <v>43835</v>
      </c>
      <c r="B18" s="76">
        <v>43835</v>
      </c>
      <c r="C18">
        <v>2181</v>
      </c>
      <c r="D18">
        <f t="shared" si="3"/>
        <v>188438400</v>
      </c>
    </row>
    <row r="19" spans="1:16" x14ac:dyDescent="0.25">
      <c r="A19" s="76">
        <v>43836</v>
      </c>
      <c r="B19" s="76">
        <v>43836</v>
      </c>
      <c r="C19">
        <v>2183</v>
      </c>
      <c r="D19">
        <f t="shared" si="3"/>
        <v>188611200</v>
      </c>
    </row>
    <row r="20" spans="1:16" x14ac:dyDescent="0.25">
      <c r="A20" s="76">
        <v>43837</v>
      </c>
      <c r="B20" s="76">
        <v>43837</v>
      </c>
      <c r="C20">
        <v>2192</v>
      </c>
      <c r="D20">
        <f t="shared" si="3"/>
        <v>189388800</v>
      </c>
      <c r="P20" t="s">
        <v>67</v>
      </c>
    </row>
    <row r="21" spans="1:16" x14ac:dyDescent="0.25">
      <c r="A21" s="76">
        <v>43838</v>
      </c>
      <c r="B21" s="76">
        <v>43838</v>
      </c>
      <c r="C21">
        <v>2205</v>
      </c>
      <c r="D21">
        <f t="shared" si="3"/>
        <v>190512000</v>
      </c>
    </row>
    <row r="22" spans="1:16" x14ac:dyDescent="0.25">
      <c r="A22" s="76">
        <v>43839</v>
      </c>
      <c r="B22" s="76">
        <v>43839</v>
      </c>
      <c r="C22">
        <v>2156</v>
      </c>
      <c r="D22">
        <f t="shared" si="3"/>
        <v>186278400</v>
      </c>
    </row>
    <row r="23" spans="1:16" x14ac:dyDescent="0.25">
      <c r="A23" s="76">
        <v>43840</v>
      </c>
      <c r="B23" s="76">
        <v>43840</v>
      </c>
      <c r="C23">
        <v>2164</v>
      </c>
      <c r="D23">
        <f t="shared" si="3"/>
        <v>186969600</v>
      </c>
    </row>
    <row r="24" spans="1:16" x14ac:dyDescent="0.25">
      <c r="A24" s="76">
        <v>43841</v>
      </c>
      <c r="B24" s="76">
        <v>43841</v>
      </c>
      <c r="C24">
        <v>2162</v>
      </c>
      <c r="D24">
        <f t="shared" si="3"/>
        <v>186796800</v>
      </c>
    </row>
    <row r="25" spans="1:16" x14ac:dyDescent="0.25">
      <c r="A25" s="76">
        <v>43842</v>
      </c>
      <c r="B25" s="76">
        <v>43842</v>
      </c>
      <c r="C25">
        <v>2195</v>
      </c>
      <c r="D25">
        <f t="shared" si="3"/>
        <v>189648000</v>
      </c>
    </row>
    <row r="26" spans="1:16" x14ac:dyDescent="0.25">
      <c r="A26" s="76">
        <v>43843</v>
      </c>
      <c r="B26" s="76">
        <v>43843</v>
      </c>
      <c r="C26">
        <v>2179</v>
      </c>
      <c r="D26">
        <f t="shared" si="3"/>
        <v>188265600</v>
      </c>
    </row>
    <row r="27" spans="1:16" x14ac:dyDescent="0.25">
      <c r="A27" s="76">
        <v>43844</v>
      </c>
      <c r="B27" s="76">
        <v>43844</v>
      </c>
      <c r="C27">
        <v>2171</v>
      </c>
      <c r="D27">
        <f t="shared" si="3"/>
        <v>187574400</v>
      </c>
    </row>
    <row r="28" spans="1:16" x14ac:dyDescent="0.25">
      <c r="A28" s="76">
        <v>43845</v>
      </c>
      <c r="B28" s="76">
        <v>43845</v>
      </c>
      <c r="C28">
        <v>2167</v>
      </c>
      <c r="D28">
        <f t="shared" si="3"/>
        <v>187228800</v>
      </c>
    </row>
    <row r="29" spans="1:16" x14ac:dyDescent="0.25">
      <c r="A29" s="76">
        <v>43846</v>
      </c>
      <c r="B29" s="76">
        <v>43846</v>
      </c>
      <c r="C29">
        <v>2167</v>
      </c>
      <c r="D29">
        <f t="shared" si="3"/>
        <v>187228800</v>
      </c>
    </row>
    <row r="30" spans="1:16" x14ac:dyDescent="0.25">
      <c r="A30" s="76">
        <v>43847</v>
      </c>
      <c r="B30" s="76">
        <v>43847</v>
      </c>
      <c r="C30">
        <v>2169</v>
      </c>
      <c r="D30">
        <f t="shared" si="3"/>
        <v>187401600</v>
      </c>
    </row>
    <row r="31" spans="1:16" x14ac:dyDescent="0.25">
      <c r="A31" s="76">
        <v>43848</v>
      </c>
      <c r="B31" s="76">
        <v>43848</v>
      </c>
      <c r="C31">
        <v>2151</v>
      </c>
      <c r="D31">
        <f t="shared" si="3"/>
        <v>185846400</v>
      </c>
    </row>
    <row r="32" spans="1:16" x14ac:dyDescent="0.25">
      <c r="A32" s="76">
        <v>43849</v>
      </c>
      <c r="B32" s="76">
        <v>43849</v>
      </c>
      <c r="C32">
        <v>2173</v>
      </c>
      <c r="D32">
        <f t="shared" si="3"/>
        <v>187747200</v>
      </c>
    </row>
    <row r="33" spans="1:6" x14ac:dyDescent="0.25">
      <c r="A33" s="76">
        <v>43850</v>
      </c>
      <c r="B33" s="76">
        <v>43850</v>
      </c>
      <c r="C33">
        <v>2171</v>
      </c>
      <c r="D33">
        <f t="shared" si="3"/>
        <v>187574400</v>
      </c>
    </row>
    <row r="34" spans="1:6" x14ac:dyDescent="0.25">
      <c r="A34" s="76">
        <v>43851</v>
      </c>
      <c r="B34" s="76">
        <v>43851</v>
      </c>
      <c r="C34">
        <v>2165</v>
      </c>
      <c r="D34">
        <f t="shared" si="3"/>
        <v>187056000</v>
      </c>
    </row>
    <row r="35" spans="1:6" x14ac:dyDescent="0.25">
      <c r="A35" s="76">
        <v>43852</v>
      </c>
      <c r="B35" s="76">
        <v>43852</v>
      </c>
      <c r="C35">
        <v>2171</v>
      </c>
      <c r="D35">
        <f t="shared" si="3"/>
        <v>187574400</v>
      </c>
    </row>
    <row r="36" spans="1:6" x14ac:dyDescent="0.25">
      <c r="A36" s="76">
        <v>43853</v>
      </c>
      <c r="B36" s="76">
        <v>43853</v>
      </c>
      <c r="C36">
        <v>2149</v>
      </c>
      <c r="D36">
        <f t="shared" si="3"/>
        <v>185673600</v>
      </c>
    </row>
    <row r="37" spans="1:6" x14ac:dyDescent="0.25">
      <c r="A37" s="76">
        <v>43854</v>
      </c>
      <c r="B37" s="76">
        <v>43854</v>
      </c>
      <c r="C37">
        <v>2172</v>
      </c>
      <c r="D37">
        <f t="shared" si="3"/>
        <v>187660800</v>
      </c>
    </row>
    <row r="38" spans="1:6" x14ac:dyDescent="0.25">
      <c r="A38" s="76">
        <v>43855</v>
      </c>
      <c r="B38" s="76">
        <v>43855</v>
      </c>
      <c r="C38">
        <v>2173</v>
      </c>
      <c r="D38">
        <f t="shared" si="3"/>
        <v>187747200</v>
      </c>
    </row>
    <row r="39" spans="1:6" x14ac:dyDescent="0.25">
      <c r="A39" s="76">
        <v>43856</v>
      </c>
      <c r="B39" s="76">
        <v>43856</v>
      </c>
      <c r="C39">
        <v>2173</v>
      </c>
      <c r="D39">
        <f t="shared" si="3"/>
        <v>187747200</v>
      </c>
    </row>
    <row r="40" spans="1:6" x14ac:dyDescent="0.25">
      <c r="A40" s="76">
        <v>43857</v>
      </c>
      <c r="B40" s="76">
        <v>43857</v>
      </c>
      <c r="C40">
        <v>2159</v>
      </c>
      <c r="D40">
        <f t="shared" si="3"/>
        <v>186537600</v>
      </c>
    </row>
    <row r="41" spans="1:6" x14ac:dyDescent="0.25">
      <c r="A41" s="76">
        <v>43858</v>
      </c>
      <c r="B41" s="76">
        <v>43858</v>
      </c>
      <c r="C41">
        <v>2148</v>
      </c>
      <c r="D41">
        <f t="shared" si="3"/>
        <v>185587200</v>
      </c>
    </row>
    <row r="42" spans="1:6" x14ac:dyDescent="0.25">
      <c r="A42" s="76">
        <v>43859</v>
      </c>
      <c r="B42" s="76">
        <v>43859</v>
      </c>
      <c r="C42">
        <v>2154</v>
      </c>
      <c r="D42">
        <f t="shared" si="3"/>
        <v>186105600</v>
      </c>
    </row>
    <row r="43" spans="1:6" x14ac:dyDescent="0.25">
      <c r="A43" s="76">
        <v>43860</v>
      </c>
      <c r="B43" s="76">
        <v>43860</v>
      </c>
      <c r="C43">
        <v>2151</v>
      </c>
      <c r="D43">
        <f t="shared" si="3"/>
        <v>185846400</v>
      </c>
    </row>
    <row r="44" spans="1:6" x14ac:dyDescent="0.25">
      <c r="A44" s="76">
        <v>43861</v>
      </c>
      <c r="B44" s="76">
        <v>43861</v>
      </c>
      <c r="C44">
        <v>2157</v>
      </c>
      <c r="D44">
        <f t="shared" si="3"/>
        <v>186364800</v>
      </c>
    </row>
    <row r="45" spans="1:6" x14ac:dyDescent="0.25">
      <c r="A45" s="76">
        <v>43862</v>
      </c>
      <c r="B45" s="76">
        <v>43862</v>
      </c>
      <c r="C45">
        <v>2162</v>
      </c>
      <c r="D45">
        <f t="shared" si="3"/>
        <v>186796800</v>
      </c>
      <c r="F45" s="82"/>
    </row>
    <row r="46" spans="1:6" x14ac:dyDescent="0.25">
      <c r="A46" s="76">
        <v>43863</v>
      </c>
      <c r="B46" s="76">
        <v>43863</v>
      </c>
      <c r="C46">
        <v>2160</v>
      </c>
      <c r="D46">
        <f t="shared" si="3"/>
        <v>186624000</v>
      </c>
    </row>
    <row r="47" spans="1:6" x14ac:dyDescent="0.25">
      <c r="A47" s="76">
        <v>43864</v>
      </c>
      <c r="B47" s="76">
        <v>43864</v>
      </c>
      <c r="C47">
        <v>2138</v>
      </c>
      <c r="D47">
        <f t="shared" si="3"/>
        <v>184723200</v>
      </c>
    </row>
    <row r="48" spans="1:6" x14ac:dyDescent="0.25">
      <c r="A48" s="76">
        <v>43865</v>
      </c>
      <c r="B48" s="76">
        <v>43865</v>
      </c>
      <c r="C48">
        <v>2116</v>
      </c>
      <c r="D48">
        <f t="shared" si="3"/>
        <v>182822400</v>
      </c>
    </row>
    <row r="49" spans="1:4" x14ac:dyDescent="0.25">
      <c r="A49" s="76">
        <v>43866</v>
      </c>
      <c r="B49" s="76">
        <v>43866</v>
      </c>
      <c r="C49">
        <v>2147</v>
      </c>
      <c r="D49">
        <f t="shared" si="3"/>
        <v>185500800</v>
      </c>
    </row>
    <row r="50" spans="1:4" x14ac:dyDescent="0.25">
      <c r="A50" s="76">
        <v>43867</v>
      </c>
      <c r="B50" s="76">
        <v>43867</v>
      </c>
      <c r="C50">
        <v>2148</v>
      </c>
      <c r="D50">
        <f t="shared" si="3"/>
        <v>185587200</v>
      </c>
    </row>
    <row r="51" spans="1:4" x14ac:dyDescent="0.25">
      <c r="A51" s="76">
        <v>43868</v>
      </c>
      <c r="B51" s="76">
        <v>43868</v>
      </c>
      <c r="C51">
        <v>2162</v>
      </c>
      <c r="D51">
        <f t="shared" si="3"/>
        <v>186796800</v>
      </c>
    </row>
    <row r="52" spans="1:4" x14ac:dyDescent="0.25">
      <c r="A52" s="76">
        <v>43869</v>
      </c>
      <c r="B52" s="76">
        <v>43869</v>
      </c>
      <c r="C52">
        <v>2163</v>
      </c>
      <c r="D52">
        <f t="shared" si="3"/>
        <v>186883200</v>
      </c>
    </row>
    <row r="53" spans="1:4" x14ac:dyDescent="0.25">
      <c r="A53" s="76">
        <v>43870</v>
      </c>
      <c r="B53" s="76">
        <v>43870</v>
      </c>
      <c r="C53">
        <v>2161</v>
      </c>
      <c r="D53">
        <f t="shared" si="3"/>
        <v>186710400</v>
      </c>
    </row>
    <row r="54" spans="1:4" x14ac:dyDescent="0.25">
      <c r="A54" s="76">
        <v>43871</v>
      </c>
      <c r="B54" s="76">
        <v>43871</v>
      </c>
      <c r="C54">
        <v>2109</v>
      </c>
      <c r="D54">
        <f t="shared" si="3"/>
        <v>182217600</v>
      </c>
    </row>
    <row r="55" spans="1:4" x14ac:dyDescent="0.25">
      <c r="A55" s="76">
        <v>43872</v>
      </c>
      <c r="B55" s="76">
        <v>43872</v>
      </c>
      <c r="C55">
        <v>2147</v>
      </c>
      <c r="D55">
        <f t="shared" si="3"/>
        <v>185500800</v>
      </c>
    </row>
    <row r="56" spans="1:4" x14ac:dyDescent="0.25">
      <c r="A56" s="76">
        <v>43873</v>
      </c>
      <c r="B56" s="76">
        <v>43873</v>
      </c>
      <c r="C56">
        <v>2109</v>
      </c>
      <c r="D56">
        <f t="shared" si="3"/>
        <v>182217600</v>
      </c>
    </row>
    <row r="57" spans="1:4" x14ac:dyDescent="0.25">
      <c r="A57" s="76">
        <v>43874</v>
      </c>
      <c r="B57" s="76">
        <v>43874</v>
      </c>
      <c r="C57">
        <v>2147</v>
      </c>
      <c r="D57">
        <f t="shared" si="3"/>
        <v>185500800</v>
      </c>
    </row>
    <row r="58" spans="1:4" x14ac:dyDescent="0.25">
      <c r="A58" s="76">
        <v>43875</v>
      </c>
      <c r="B58" s="76">
        <v>43875</v>
      </c>
      <c r="C58">
        <v>2155</v>
      </c>
      <c r="D58">
        <f t="shared" si="3"/>
        <v>186192000</v>
      </c>
    </row>
    <row r="59" spans="1:4" x14ac:dyDescent="0.25">
      <c r="A59" s="76">
        <v>43876</v>
      </c>
      <c r="B59" s="76">
        <v>43876</v>
      </c>
      <c r="C59">
        <v>2152</v>
      </c>
      <c r="D59">
        <f t="shared" si="3"/>
        <v>185932800</v>
      </c>
    </row>
    <row r="60" spans="1:4" x14ac:dyDescent="0.25">
      <c r="A60" s="76">
        <v>43877</v>
      </c>
      <c r="B60" s="76">
        <v>43877</v>
      </c>
      <c r="C60">
        <v>2155</v>
      </c>
      <c r="D60">
        <f t="shared" si="3"/>
        <v>186192000</v>
      </c>
    </row>
    <row r="61" spans="1:4" x14ac:dyDescent="0.25">
      <c r="A61" s="76">
        <v>43878</v>
      </c>
      <c r="B61" s="76">
        <v>43878</v>
      </c>
      <c r="C61">
        <v>2156</v>
      </c>
      <c r="D61">
        <f t="shared" si="3"/>
        <v>186278400</v>
      </c>
    </row>
    <row r="62" spans="1:4" x14ac:dyDescent="0.25">
      <c r="A62" s="76">
        <v>43879</v>
      </c>
      <c r="B62" s="76">
        <v>43879</v>
      </c>
      <c r="C62">
        <v>2152</v>
      </c>
      <c r="D62">
        <f t="shared" si="3"/>
        <v>185932800</v>
      </c>
    </row>
    <row r="63" spans="1:4" x14ac:dyDescent="0.25">
      <c r="A63" s="76">
        <v>43880</v>
      </c>
      <c r="B63" s="76">
        <v>43880</v>
      </c>
      <c r="C63">
        <v>2176</v>
      </c>
      <c r="D63">
        <f t="shared" si="3"/>
        <v>188006400</v>
      </c>
    </row>
    <row r="64" spans="1:4" x14ac:dyDescent="0.25">
      <c r="A64" s="76">
        <v>43881</v>
      </c>
      <c r="B64" s="76">
        <v>43881</v>
      </c>
      <c r="C64">
        <v>2159</v>
      </c>
      <c r="D64">
        <f t="shared" si="3"/>
        <v>186537600</v>
      </c>
    </row>
    <row r="65" spans="1:7" x14ac:dyDescent="0.25">
      <c r="A65" s="76">
        <v>43882</v>
      </c>
      <c r="B65" s="76">
        <v>43882</v>
      </c>
      <c r="C65">
        <v>2159</v>
      </c>
      <c r="D65">
        <f t="shared" si="3"/>
        <v>186537600</v>
      </c>
    </row>
    <row r="66" spans="1:7" x14ac:dyDescent="0.25">
      <c r="A66" s="76">
        <v>43883</v>
      </c>
      <c r="B66" s="76">
        <v>43883</v>
      </c>
      <c r="C66">
        <v>2150</v>
      </c>
      <c r="D66">
        <f t="shared" si="3"/>
        <v>185760000</v>
      </c>
    </row>
    <row r="67" spans="1:7" x14ac:dyDescent="0.25">
      <c r="A67" s="76">
        <v>43884</v>
      </c>
      <c r="B67" s="76">
        <v>43884</v>
      </c>
      <c r="C67">
        <v>2155</v>
      </c>
      <c r="D67">
        <f t="shared" si="3"/>
        <v>186192000</v>
      </c>
    </row>
    <row r="68" spans="1:7" x14ac:dyDescent="0.25">
      <c r="A68" s="76">
        <v>43885</v>
      </c>
      <c r="B68" s="76">
        <v>43885</v>
      </c>
      <c r="C68">
        <v>2147</v>
      </c>
      <c r="D68">
        <f t="shared" si="3"/>
        <v>185500800</v>
      </c>
    </row>
    <row r="69" spans="1:7" x14ac:dyDescent="0.25">
      <c r="A69" s="76">
        <v>43886</v>
      </c>
      <c r="B69" s="76">
        <v>43886</v>
      </c>
      <c r="C69">
        <v>2147</v>
      </c>
      <c r="D69">
        <f t="shared" si="3"/>
        <v>185500800</v>
      </c>
    </row>
    <row r="70" spans="1:7" x14ac:dyDescent="0.25">
      <c r="A70" s="76">
        <v>43887</v>
      </c>
      <c r="B70" s="76">
        <v>43887</v>
      </c>
      <c r="C70">
        <v>2159</v>
      </c>
      <c r="D70">
        <f t="shared" si="3"/>
        <v>186537600</v>
      </c>
    </row>
    <row r="71" spans="1:7" x14ac:dyDescent="0.25">
      <c r="A71" s="76">
        <v>43888</v>
      </c>
      <c r="B71" s="76">
        <v>43888</v>
      </c>
      <c r="C71">
        <v>2195</v>
      </c>
      <c r="D71">
        <f t="shared" si="3"/>
        <v>189648000</v>
      </c>
    </row>
    <row r="72" spans="1:7" x14ac:dyDescent="0.25">
      <c r="A72" s="76">
        <v>43889</v>
      </c>
      <c r="B72" s="76">
        <v>43889</v>
      </c>
      <c r="C72">
        <v>2186</v>
      </c>
      <c r="D72">
        <f t="shared" si="3"/>
        <v>188870400</v>
      </c>
    </row>
    <row r="73" spans="1:7" x14ac:dyDescent="0.25">
      <c r="A73" s="76">
        <v>43890</v>
      </c>
      <c r="B73" s="76">
        <v>43890</v>
      </c>
      <c r="C73">
        <v>2138</v>
      </c>
      <c r="D73">
        <f t="shared" si="3"/>
        <v>184723200</v>
      </c>
    </row>
    <row r="74" spans="1:7" x14ac:dyDescent="0.25">
      <c r="A74" s="76">
        <v>43891</v>
      </c>
      <c r="B74" s="76">
        <v>43891</v>
      </c>
      <c r="C74">
        <v>1880</v>
      </c>
      <c r="D74">
        <f t="shared" si="3"/>
        <v>162432000</v>
      </c>
      <c r="F74" s="82">
        <v>43891</v>
      </c>
      <c r="G74">
        <f>SUM(D74:D104)</f>
        <v>5200675200</v>
      </c>
    </row>
    <row r="75" spans="1:7" x14ac:dyDescent="0.25">
      <c r="A75" s="76">
        <v>43892</v>
      </c>
      <c r="B75" s="76">
        <v>43892</v>
      </c>
      <c r="C75">
        <v>1881</v>
      </c>
      <c r="D75">
        <f t="shared" si="3"/>
        <v>162518400</v>
      </c>
    </row>
    <row r="76" spans="1:7" x14ac:dyDescent="0.25">
      <c r="A76" s="76">
        <v>43893</v>
      </c>
      <c r="B76" s="76">
        <v>43893</v>
      </c>
      <c r="C76">
        <v>1881</v>
      </c>
      <c r="D76">
        <f t="shared" si="3"/>
        <v>162518400</v>
      </c>
    </row>
    <row r="77" spans="1:7" x14ac:dyDescent="0.25">
      <c r="A77" s="76">
        <v>43894</v>
      </c>
      <c r="B77" s="76">
        <v>43894</v>
      </c>
      <c r="C77">
        <v>1878</v>
      </c>
      <c r="D77">
        <f t="shared" si="3"/>
        <v>162259200</v>
      </c>
    </row>
    <row r="78" spans="1:7" x14ac:dyDescent="0.25">
      <c r="A78" s="76">
        <v>43895</v>
      </c>
      <c r="B78" s="76">
        <v>43895</v>
      </c>
      <c r="C78">
        <v>1879</v>
      </c>
      <c r="D78">
        <f t="shared" ref="D78:D141" si="4">C78*86400</f>
        <v>162345600</v>
      </c>
    </row>
    <row r="79" spans="1:7" x14ac:dyDescent="0.25">
      <c r="A79" s="76">
        <v>43896</v>
      </c>
      <c r="B79" s="76">
        <v>43896</v>
      </c>
      <c r="C79">
        <v>1951</v>
      </c>
      <c r="D79">
        <f t="shared" si="4"/>
        <v>168566400</v>
      </c>
    </row>
    <row r="80" spans="1:7" x14ac:dyDescent="0.25">
      <c r="A80" s="76">
        <v>43897</v>
      </c>
      <c r="B80" s="76">
        <v>43897</v>
      </c>
      <c r="C80">
        <v>1951</v>
      </c>
      <c r="D80">
        <f t="shared" si="4"/>
        <v>168566400</v>
      </c>
    </row>
    <row r="81" spans="1:4" x14ac:dyDescent="0.25">
      <c r="A81" s="76">
        <v>43898</v>
      </c>
      <c r="B81" s="76">
        <v>43898</v>
      </c>
      <c r="C81">
        <v>1953</v>
      </c>
      <c r="D81">
        <f t="shared" si="4"/>
        <v>168739200</v>
      </c>
    </row>
    <row r="82" spans="1:4" x14ac:dyDescent="0.25">
      <c r="A82" s="76">
        <v>43899</v>
      </c>
      <c r="B82" s="76">
        <v>43899</v>
      </c>
      <c r="C82">
        <v>1952</v>
      </c>
      <c r="D82">
        <f t="shared" si="4"/>
        <v>168652800</v>
      </c>
    </row>
    <row r="83" spans="1:4" x14ac:dyDescent="0.25">
      <c r="A83" s="76">
        <v>43900</v>
      </c>
      <c r="B83" s="76">
        <v>43900</v>
      </c>
      <c r="C83">
        <v>1947</v>
      </c>
      <c r="D83">
        <f t="shared" si="4"/>
        <v>168220800</v>
      </c>
    </row>
    <row r="84" spans="1:4" x14ac:dyDescent="0.25">
      <c r="A84" s="76">
        <v>43901</v>
      </c>
      <c r="B84" s="76">
        <v>43901</v>
      </c>
      <c r="C84">
        <v>1955</v>
      </c>
      <c r="D84">
        <f t="shared" si="4"/>
        <v>168912000</v>
      </c>
    </row>
    <row r="85" spans="1:4" x14ac:dyDescent="0.25">
      <c r="A85" s="76">
        <v>43902</v>
      </c>
      <c r="B85" s="76">
        <v>43902</v>
      </c>
      <c r="C85">
        <v>1955</v>
      </c>
      <c r="D85">
        <f t="shared" si="4"/>
        <v>168912000</v>
      </c>
    </row>
    <row r="86" spans="1:4" x14ac:dyDescent="0.25">
      <c r="A86" s="76">
        <v>43903</v>
      </c>
      <c r="B86" s="76">
        <v>43903</v>
      </c>
      <c r="C86">
        <v>1954</v>
      </c>
      <c r="D86">
        <f t="shared" si="4"/>
        <v>168825600</v>
      </c>
    </row>
    <row r="87" spans="1:4" x14ac:dyDescent="0.25">
      <c r="A87" s="76">
        <v>43904</v>
      </c>
      <c r="B87" s="76">
        <v>43904</v>
      </c>
      <c r="C87">
        <v>1951</v>
      </c>
      <c r="D87">
        <f t="shared" si="4"/>
        <v>168566400</v>
      </c>
    </row>
    <row r="88" spans="1:4" x14ac:dyDescent="0.25">
      <c r="A88" s="76">
        <v>43905</v>
      </c>
      <c r="B88" s="76">
        <v>43905</v>
      </c>
      <c r="C88">
        <v>1954</v>
      </c>
      <c r="D88">
        <f t="shared" si="4"/>
        <v>168825600</v>
      </c>
    </row>
    <row r="89" spans="1:4" x14ac:dyDescent="0.25">
      <c r="A89" s="76">
        <v>43906</v>
      </c>
      <c r="B89" s="76">
        <v>43906</v>
      </c>
      <c r="C89">
        <v>1954</v>
      </c>
      <c r="D89">
        <f t="shared" si="4"/>
        <v>168825600</v>
      </c>
    </row>
    <row r="90" spans="1:4" x14ac:dyDescent="0.25">
      <c r="A90" s="76">
        <v>43907</v>
      </c>
      <c r="B90" s="76">
        <v>43907</v>
      </c>
      <c r="C90">
        <v>1955</v>
      </c>
      <c r="D90">
        <f t="shared" si="4"/>
        <v>168912000</v>
      </c>
    </row>
    <row r="91" spans="1:4" x14ac:dyDescent="0.25">
      <c r="A91" s="76">
        <v>43908</v>
      </c>
      <c r="B91" s="76">
        <v>43908</v>
      </c>
      <c r="C91">
        <v>1953</v>
      </c>
      <c r="D91">
        <f t="shared" si="4"/>
        <v>168739200</v>
      </c>
    </row>
    <row r="92" spans="1:4" x14ac:dyDescent="0.25">
      <c r="A92" s="76">
        <v>43909</v>
      </c>
      <c r="B92" s="76">
        <v>43909</v>
      </c>
      <c r="C92">
        <v>1955</v>
      </c>
      <c r="D92">
        <f t="shared" si="4"/>
        <v>168912000</v>
      </c>
    </row>
    <row r="93" spans="1:4" x14ac:dyDescent="0.25">
      <c r="A93" s="76">
        <v>43910</v>
      </c>
      <c r="B93" s="76">
        <v>43910</v>
      </c>
      <c r="C93">
        <v>1957</v>
      </c>
      <c r="D93">
        <f t="shared" si="4"/>
        <v>169084800</v>
      </c>
    </row>
    <row r="94" spans="1:4" x14ac:dyDescent="0.25">
      <c r="A94" s="76">
        <v>43911</v>
      </c>
      <c r="B94" s="76">
        <v>43911</v>
      </c>
      <c r="C94">
        <v>1944</v>
      </c>
      <c r="D94">
        <f t="shared" si="4"/>
        <v>167961600</v>
      </c>
    </row>
    <row r="95" spans="1:4" x14ac:dyDescent="0.25">
      <c r="A95" s="76">
        <v>43912</v>
      </c>
      <c r="B95" s="76">
        <v>43912</v>
      </c>
      <c r="C95">
        <v>1969</v>
      </c>
      <c r="D95">
        <f t="shared" si="4"/>
        <v>170121600</v>
      </c>
    </row>
    <row r="96" spans="1:4" x14ac:dyDescent="0.25">
      <c r="A96" s="76">
        <v>43913</v>
      </c>
      <c r="B96" s="76">
        <v>43913</v>
      </c>
      <c r="C96">
        <v>1956</v>
      </c>
      <c r="D96">
        <f t="shared" si="4"/>
        <v>168998400</v>
      </c>
    </row>
    <row r="97" spans="1:7" x14ac:dyDescent="0.25">
      <c r="A97" s="76">
        <v>43914</v>
      </c>
      <c r="B97" s="76">
        <v>43914</v>
      </c>
      <c r="C97">
        <v>1955</v>
      </c>
      <c r="D97">
        <f t="shared" si="4"/>
        <v>168912000</v>
      </c>
    </row>
    <row r="98" spans="1:7" x14ac:dyDescent="0.25">
      <c r="A98" s="76">
        <v>43915</v>
      </c>
      <c r="B98" s="76">
        <v>43915</v>
      </c>
      <c r="C98">
        <v>1953</v>
      </c>
      <c r="D98">
        <f t="shared" si="4"/>
        <v>168739200</v>
      </c>
    </row>
    <row r="99" spans="1:7" x14ac:dyDescent="0.25">
      <c r="A99" s="76">
        <v>43916</v>
      </c>
      <c r="B99" s="76">
        <v>43916</v>
      </c>
      <c r="C99">
        <v>1955</v>
      </c>
      <c r="D99">
        <f t="shared" si="4"/>
        <v>168912000</v>
      </c>
    </row>
    <row r="100" spans="1:7" x14ac:dyDescent="0.25">
      <c r="A100" s="76">
        <v>43917</v>
      </c>
      <c r="B100" s="76">
        <v>43917</v>
      </c>
      <c r="C100">
        <v>1953</v>
      </c>
      <c r="D100">
        <f t="shared" si="4"/>
        <v>168739200</v>
      </c>
    </row>
    <row r="101" spans="1:7" x14ac:dyDescent="0.25">
      <c r="A101" s="76">
        <v>43918</v>
      </c>
      <c r="B101" s="76">
        <v>43918</v>
      </c>
      <c r="C101">
        <v>1952</v>
      </c>
      <c r="D101">
        <f t="shared" si="4"/>
        <v>168652800</v>
      </c>
    </row>
    <row r="102" spans="1:7" x14ac:dyDescent="0.25">
      <c r="A102" s="76">
        <v>43919</v>
      </c>
      <c r="B102" s="76">
        <v>43919</v>
      </c>
      <c r="C102">
        <v>1954</v>
      </c>
      <c r="D102">
        <f t="shared" si="4"/>
        <v>168825600</v>
      </c>
    </row>
    <row r="103" spans="1:7" x14ac:dyDescent="0.25">
      <c r="A103" s="76">
        <v>43920</v>
      </c>
      <c r="B103" s="76">
        <v>43920</v>
      </c>
      <c r="C103">
        <v>1950</v>
      </c>
      <c r="D103">
        <f t="shared" si="4"/>
        <v>168480000</v>
      </c>
    </row>
    <row r="104" spans="1:7" x14ac:dyDescent="0.25">
      <c r="A104" s="76">
        <v>43921</v>
      </c>
      <c r="B104" s="76">
        <v>43921</v>
      </c>
      <c r="C104">
        <v>1956</v>
      </c>
      <c r="D104">
        <f t="shared" si="4"/>
        <v>168998400</v>
      </c>
    </row>
    <row r="105" spans="1:7" x14ac:dyDescent="0.25">
      <c r="A105" s="76">
        <v>43922</v>
      </c>
      <c r="B105" s="76">
        <v>43922</v>
      </c>
      <c r="C105">
        <v>1948</v>
      </c>
      <c r="D105">
        <f t="shared" si="4"/>
        <v>168307200</v>
      </c>
      <c r="F105" s="82">
        <v>43922</v>
      </c>
      <c r="G105">
        <f>SUM(D105:D134)</f>
        <v>4889721600</v>
      </c>
    </row>
    <row r="106" spans="1:7" x14ac:dyDescent="0.25">
      <c r="A106" s="76">
        <v>43923</v>
      </c>
      <c r="B106" s="76">
        <v>43923</v>
      </c>
      <c r="C106">
        <v>1946</v>
      </c>
      <c r="D106">
        <f t="shared" si="4"/>
        <v>168134400</v>
      </c>
    </row>
    <row r="107" spans="1:7" x14ac:dyDescent="0.25">
      <c r="A107" s="76">
        <v>43924</v>
      </c>
      <c r="B107" s="76">
        <v>43924</v>
      </c>
      <c r="C107">
        <v>1945</v>
      </c>
      <c r="D107">
        <f t="shared" si="4"/>
        <v>168048000</v>
      </c>
    </row>
    <row r="108" spans="1:7" x14ac:dyDescent="0.25">
      <c r="A108" s="76">
        <v>43925</v>
      </c>
      <c r="B108" s="76">
        <v>43925</v>
      </c>
      <c r="C108">
        <v>1944</v>
      </c>
      <c r="D108">
        <f t="shared" si="4"/>
        <v>167961600</v>
      </c>
    </row>
    <row r="109" spans="1:7" x14ac:dyDescent="0.25">
      <c r="A109" s="76">
        <v>43926</v>
      </c>
      <c r="B109" s="76">
        <v>43926</v>
      </c>
      <c r="C109">
        <v>1944</v>
      </c>
      <c r="D109">
        <f t="shared" si="4"/>
        <v>167961600</v>
      </c>
    </row>
    <row r="110" spans="1:7" x14ac:dyDescent="0.25">
      <c r="A110" s="76">
        <v>43927</v>
      </c>
      <c r="B110" s="76">
        <v>43927</v>
      </c>
      <c r="C110">
        <v>1948</v>
      </c>
      <c r="D110">
        <f t="shared" si="4"/>
        <v>168307200</v>
      </c>
    </row>
    <row r="111" spans="1:7" x14ac:dyDescent="0.25">
      <c r="A111" s="76">
        <v>43928</v>
      </c>
      <c r="B111" s="76">
        <v>43928</v>
      </c>
      <c r="C111">
        <v>1937</v>
      </c>
      <c r="D111">
        <f t="shared" si="4"/>
        <v>167356800</v>
      </c>
    </row>
    <row r="112" spans="1:7" x14ac:dyDescent="0.25">
      <c r="A112" s="76">
        <v>43929</v>
      </c>
      <c r="B112" s="76">
        <v>43929</v>
      </c>
      <c r="C112">
        <v>1944</v>
      </c>
      <c r="D112">
        <f t="shared" si="4"/>
        <v>167961600</v>
      </c>
    </row>
    <row r="113" spans="1:4" x14ac:dyDescent="0.25">
      <c r="A113" s="76">
        <v>43930</v>
      </c>
      <c r="B113" s="76">
        <v>43930</v>
      </c>
      <c r="C113">
        <v>1944</v>
      </c>
      <c r="D113">
        <f t="shared" si="4"/>
        <v>167961600</v>
      </c>
    </row>
    <row r="114" spans="1:4" x14ac:dyDescent="0.25">
      <c r="A114" s="76">
        <v>43931</v>
      </c>
      <c r="B114" s="76">
        <v>43931</v>
      </c>
      <c r="C114">
        <v>1942</v>
      </c>
      <c r="D114">
        <f t="shared" si="4"/>
        <v>167788800</v>
      </c>
    </row>
    <row r="115" spans="1:4" x14ac:dyDescent="0.25">
      <c r="A115" s="76">
        <v>43932</v>
      </c>
      <c r="B115" s="76">
        <v>43932</v>
      </c>
      <c r="C115">
        <v>1948</v>
      </c>
      <c r="D115">
        <f t="shared" si="4"/>
        <v>168307200</v>
      </c>
    </row>
    <row r="116" spans="1:4" x14ac:dyDescent="0.25">
      <c r="A116" s="76">
        <v>43933</v>
      </c>
      <c r="B116" s="76">
        <v>43933</v>
      </c>
      <c r="C116">
        <v>1944</v>
      </c>
      <c r="D116">
        <f t="shared" si="4"/>
        <v>167961600</v>
      </c>
    </row>
    <row r="117" spans="1:4" x14ac:dyDescent="0.25">
      <c r="A117" s="76">
        <v>43934</v>
      </c>
      <c r="B117" s="76">
        <v>43934</v>
      </c>
      <c r="C117">
        <v>1942</v>
      </c>
      <c r="D117">
        <f t="shared" si="4"/>
        <v>167788800</v>
      </c>
    </row>
    <row r="118" spans="1:4" x14ac:dyDescent="0.25">
      <c r="A118" s="76">
        <v>43935</v>
      </c>
      <c r="B118" s="76">
        <v>43935</v>
      </c>
      <c r="C118">
        <v>1935</v>
      </c>
      <c r="D118">
        <f t="shared" si="4"/>
        <v>167184000</v>
      </c>
    </row>
    <row r="119" spans="1:4" x14ac:dyDescent="0.25">
      <c r="A119" s="76">
        <v>43936</v>
      </c>
      <c r="B119" s="76">
        <v>43936</v>
      </c>
      <c r="C119">
        <v>1942</v>
      </c>
      <c r="D119">
        <f t="shared" si="4"/>
        <v>167788800</v>
      </c>
    </row>
    <row r="120" spans="1:4" x14ac:dyDescent="0.25">
      <c r="A120" s="76">
        <v>43937</v>
      </c>
      <c r="B120" s="76">
        <v>43937</v>
      </c>
      <c r="C120">
        <v>1940</v>
      </c>
      <c r="D120">
        <f t="shared" si="4"/>
        <v>167616000</v>
      </c>
    </row>
    <row r="121" spans="1:4" x14ac:dyDescent="0.25">
      <c r="A121" s="76">
        <v>43938</v>
      </c>
      <c r="B121" s="76">
        <v>43938</v>
      </c>
      <c r="C121">
        <v>1908</v>
      </c>
      <c r="D121">
        <f t="shared" si="4"/>
        <v>164851200</v>
      </c>
    </row>
    <row r="122" spans="1:4" x14ac:dyDescent="0.25">
      <c r="A122" s="76">
        <v>43939</v>
      </c>
      <c r="B122" s="76">
        <v>43939</v>
      </c>
      <c r="C122">
        <v>1927</v>
      </c>
      <c r="D122">
        <f t="shared" si="4"/>
        <v>166492800</v>
      </c>
    </row>
    <row r="123" spans="1:4" x14ac:dyDescent="0.25">
      <c r="A123" s="76">
        <v>43940</v>
      </c>
      <c r="B123" s="76">
        <v>43940</v>
      </c>
      <c r="C123">
        <v>1768</v>
      </c>
      <c r="D123">
        <f t="shared" si="4"/>
        <v>152755200</v>
      </c>
    </row>
    <row r="124" spans="1:4" x14ac:dyDescent="0.25">
      <c r="A124" s="76">
        <v>43941</v>
      </c>
      <c r="B124" s="76">
        <v>43941</v>
      </c>
      <c r="C124">
        <v>1968</v>
      </c>
      <c r="D124">
        <f t="shared" si="4"/>
        <v>170035200</v>
      </c>
    </row>
    <row r="125" spans="1:4" x14ac:dyDescent="0.25">
      <c r="A125" s="76">
        <v>43942</v>
      </c>
      <c r="B125" s="76">
        <v>43942</v>
      </c>
      <c r="C125">
        <v>1963</v>
      </c>
      <c r="D125">
        <f t="shared" si="4"/>
        <v>169603200</v>
      </c>
    </row>
    <row r="126" spans="1:4" x14ac:dyDescent="0.25">
      <c r="A126" s="76">
        <v>43943</v>
      </c>
      <c r="B126" s="76">
        <v>43943</v>
      </c>
      <c r="C126">
        <v>1960</v>
      </c>
      <c r="D126">
        <f t="shared" si="4"/>
        <v>169344000</v>
      </c>
    </row>
    <row r="127" spans="1:4" x14ac:dyDescent="0.25">
      <c r="A127" s="76">
        <v>43944</v>
      </c>
      <c r="B127" s="76">
        <v>43944</v>
      </c>
      <c r="C127">
        <v>1957</v>
      </c>
      <c r="D127">
        <f t="shared" si="4"/>
        <v>169084800</v>
      </c>
    </row>
    <row r="128" spans="1:4" x14ac:dyDescent="0.25">
      <c r="A128" s="76">
        <v>43945</v>
      </c>
      <c r="B128" s="76">
        <v>43945</v>
      </c>
      <c r="C128">
        <v>1945</v>
      </c>
      <c r="D128">
        <f t="shared" si="4"/>
        <v>168048000</v>
      </c>
    </row>
    <row r="129" spans="1:7" x14ac:dyDescent="0.25">
      <c r="A129" s="76">
        <v>43946</v>
      </c>
      <c r="B129" s="76">
        <v>43946</v>
      </c>
      <c r="C129">
        <v>1940</v>
      </c>
      <c r="D129">
        <f t="shared" si="4"/>
        <v>167616000</v>
      </c>
    </row>
    <row r="130" spans="1:7" x14ac:dyDescent="0.25">
      <c r="A130" s="76">
        <v>43947</v>
      </c>
      <c r="B130" s="76">
        <v>43947</v>
      </c>
      <c r="C130">
        <v>1949</v>
      </c>
      <c r="D130">
        <f t="shared" si="4"/>
        <v>168393600</v>
      </c>
    </row>
    <row r="131" spans="1:7" x14ac:dyDescent="0.25">
      <c r="A131" s="76">
        <v>43948</v>
      </c>
      <c r="B131" s="76">
        <v>43948</v>
      </c>
      <c r="C131">
        <v>1953</v>
      </c>
      <c r="D131">
        <f t="shared" si="4"/>
        <v>168739200</v>
      </c>
    </row>
    <row r="132" spans="1:7" x14ac:dyDescent="0.25">
      <c r="A132" s="76">
        <v>43949</v>
      </c>
      <c r="B132" s="76">
        <v>43949</v>
      </c>
      <c r="C132">
        <v>1788</v>
      </c>
      <c r="D132">
        <f t="shared" si="4"/>
        <v>154483200</v>
      </c>
    </row>
    <row r="133" spans="1:7" x14ac:dyDescent="0.25">
      <c r="A133" s="76">
        <v>43950</v>
      </c>
      <c r="B133" s="76">
        <v>43950</v>
      </c>
      <c r="C133">
        <v>1523</v>
      </c>
      <c r="D133">
        <f t="shared" si="4"/>
        <v>131587200</v>
      </c>
    </row>
    <row r="134" spans="1:7" x14ac:dyDescent="0.25">
      <c r="A134" s="76">
        <v>43951</v>
      </c>
      <c r="B134" s="76">
        <v>43951</v>
      </c>
      <c r="C134">
        <v>952</v>
      </c>
      <c r="D134">
        <f t="shared" si="4"/>
        <v>82252800</v>
      </c>
    </row>
    <row r="135" spans="1:7" x14ac:dyDescent="0.25">
      <c r="A135" s="76">
        <v>43952</v>
      </c>
      <c r="B135" s="76">
        <v>43952</v>
      </c>
      <c r="C135">
        <v>951</v>
      </c>
      <c r="D135">
        <f t="shared" si="4"/>
        <v>82166400</v>
      </c>
      <c r="F135" s="82">
        <v>43952</v>
      </c>
      <c r="G135">
        <f>SUM(D135:D165)</f>
        <v>4260038400</v>
      </c>
    </row>
    <row r="136" spans="1:7" x14ac:dyDescent="0.25">
      <c r="A136" s="76">
        <v>43953</v>
      </c>
      <c r="B136" s="76">
        <v>43953</v>
      </c>
      <c r="C136">
        <v>948</v>
      </c>
      <c r="D136">
        <f t="shared" si="4"/>
        <v>81907200</v>
      </c>
    </row>
    <row r="137" spans="1:7" x14ac:dyDescent="0.25">
      <c r="A137" s="76">
        <v>43954</v>
      </c>
      <c r="B137" s="76">
        <v>43954</v>
      </c>
      <c r="C137">
        <v>951</v>
      </c>
      <c r="D137">
        <f t="shared" si="4"/>
        <v>82166400</v>
      </c>
    </row>
    <row r="138" spans="1:7" x14ac:dyDescent="0.25">
      <c r="A138" s="76">
        <v>43955</v>
      </c>
      <c r="B138" s="76">
        <v>43955</v>
      </c>
      <c r="C138">
        <v>951</v>
      </c>
      <c r="D138">
        <f t="shared" si="4"/>
        <v>82166400</v>
      </c>
    </row>
    <row r="139" spans="1:7" x14ac:dyDescent="0.25">
      <c r="A139" s="76">
        <v>43956</v>
      </c>
      <c r="B139" s="76">
        <v>43956</v>
      </c>
      <c r="C139">
        <v>950</v>
      </c>
      <c r="D139">
        <f t="shared" si="4"/>
        <v>82080000</v>
      </c>
    </row>
    <row r="140" spans="1:7" x14ac:dyDescent="0.25">
      <c r="A140" s="76">
        <v>43957</v>
      </c>
      <c r="B140" s="76">
        <v>43957</v>
      </c>
      <c r="C140">
        <v>951</v>
      </c>
      <c r="D140">
        <f t="shared" si="4"/>
        <v>82166400</v>
      </c>
    </row>
    <row r="141" spans="1:7" x14ac:dyDescent="0.25">
      <c r="A141" s="76">
        <v>43958</v>
      </c>
      <c r="B141" s="76">
        <v>43958</v>
      </c>
      <c r="C141">
        <v>950</v>
      </c>
      <c r="D141">
        <f t="shared" si="4"/>
        <v>82080000</v>
      </c>
    </row>
    <row r="142" spans="1:7" x14ac:dyDescent="0.25">
      <c r="A142" s="76">
        <v>43959</v>
      </c>
      <c r="B142" s="76">
        <v>43959</v>
      </c>
      <c r="C142">
        <v>950</v>
      </c>
      <c r="D142">
        <f t="shared" ref="D142:D205" si="5">C142*86400</f>
        <v>82080000</v>
      </c>
    </row>
    <row r="143" spans="1:7" x14ac:dyDescent="0.25">
      <c r="A143" s="76">
        <v>43960</v>
      </c>
      <c r="B143" s="76">
        <v>43960</v>
      </c>
      <c r="C143">
        <v>950</v>
      </c>
      <c r="D143">
        <f t="shared" si="5"/>
        <v>82080000</v>
      </c>
    </row>
    <row r="144" spans="1:7" x14ac:dyDescent="0.25">
      <c r="A144" s="76">
        <v>43961</v>
      </c>
      <c r="B144" s="76">
        <v>43961</v>
      </c>
      <c r="C144">
        <v>950</v>
      </c>
      <c r="D144">
        <f t="shared" si="5"/>
        <v>82080000</v>
      </c>
    </row>
    <row r="145" spans="1:4" x14ac:dyDescent="0.25">
      <c r="A145" s="76">
        <v>43962</v>
      </c>
      <c r="B145" s="76">
        <v>43962</v>
      </c>
      <c r="C145">
        <v>949</v>
      </c>
      <c r="D145">
        <f t="shared" si="5"/>
        <v>81993600</v>
      </c>
    </row>
    <row r="146" spans="1:4" x14ac:dyDescent="0.25">
      <c r="A146" s="76">
        <v>43963</v>
      </c>
      <c r="B146" s="76">
        <v>43963</v>
      </c>
      <c r="C146">
        <v>949</v>
      </c>
      <c r="D146">
        <f t="shared" si="5"/>
        <v>81993600</v>
      </c>
    </row>
    <row r="147" spans="1:4" x14ac:dyDescent="0.25">
      <c r="A147" s="76">
        <v>43964</v>
      </c>
      <c r="B147" s="76">
        <v>43964</v>
      </c>
      <c r="C147">
        <v>946</v>
      </c>
      <c r="D147">
        <f t="shared" si="5"/>
        <v>81734400</v>
      </c>
    </row>
    <row r="148" spans="1:4" x14ac:dyDescent="0.25">
      <c r="A148" s="76">
        <v>43965</v>
      </c>
      <c r="B148" s="76">
        <v>43965</v>
      </c>
      <c r="C148">
        <v>947</v>
      </c>
      <c r="D148">
        <f t="shared" si="5"/>
        <v>81820800</v>
      </c>
    </row>
    <row r="149" spans="1:4" x14ac:dyDescent="0.25">
      <c r="A149" s="76">
        <v>43966</v>
      </c>
      <c r="B149" s="76">
        <v>43966</v>
      </c>
      <c r="C149">
        <v>948</v>
      </c>
      <c r="D149">
        <f t="shared" si="5"/>
        <v>81907200</v>
      </c>
    </row>
    <row r="150" spans="1:4" x14ac:dyDescent="0.25">
      <c r="A150" s="76">
        <v>43967</v>
      </c>
      <c r="B150" s="76">
        <v>43967</v>
      </c>
      <c r="C150">
        <v>955</v>
      </c>
      <c r="D150">
        <f t="shared" si="5"/>
        <v>82512000</v>
      </c>
    </row>
    <row r="151" spans="1:4" x14ac:dyDescent="0.25">
      <c r="A151" s="76">
        <v>43968</v>
      </c>
      <c r="B151" s="76">
        <v>43968</v>
      </c>
      <c r="C151">
        <v>949</v>
      </c>
      <c r="D151">
        <f t="shared" si="5"/>
        <v>81993600</v>
      </c>
    </row>
    <row r="152" spans="1:4" x14ac:dyDescent="0.25">
      <c r="A152" s="76">
        <v>43969</v>
      </c>
      <c r="B152" s="76">
        <v>43969</v>
      </c>
      <c r="C152">
        <v>947</v>
      </c>
      <c r="D152">
        <f t="shared" si="5"/>
        <v>81820800</v>
      </c>
    </row>
    <row r="153" spans="1:4" x14ac:dyDescent="0.25">
      <c r="A153" s="76">
        <v>43970</v>
      </c>
      <c r="B153" s="76">
        <v>43970</v>
      </c>
      <c r="C153">
        <v>948</v>
      </c>
      <c r="D153">
        <f t="shared" si="5"/>
        <v>81907200</v>
      </c>
    </row>
    <row r="154" spans="1:4" x14ac:dyDescent="0.25">
      <c r="A154" s="76">
        <v>43971</v>
      </c>
      <c r="B154" s="76">
        <v>43971</v>
      </c>
      <c r="C154">
        <v>952</v>
      </c>
      <c r="D154">
        <f t="shared" si="5"/>
        <v>82252800</v>
      </c>
    </row>
    <row r="155" spans="1:4" x14ac:dyDescent="0.25">
      <c r="A155" s="76">
        <v>43972</v>
      </c>
      <c r="B155" s="76">
        <v>43972</v>
      </c>
      <c r="C155">
        <v>947</v>
      </c>
      <c r="D155">
        <f t="shared" si="5"/>
        <v>81820800</v>
      </c>
    </row>
    <row r="156" spans="1:4" x14ac:dyDescent="0.25">
      <c r="A156" s="76">
        <v>43973</v>
      </c>
      <c r="B156" s="76">
        <v>43973</v>
      </c>
      <c r="C156">
        <v>948</v>
      </c>
      <c r="D156">
        <f t="shared" si="5"/>
        <v>81907200</v>
      </c>
    </row>
    <row r="157" spans="1:4" x14ac:dyDescent="0.25">
      <c r="A157" s="76">
        <v>43974</v>
      </c>
      <c r="B157" s="76">
        <v>43974</v>
      </c>
      <c r="C157">
        <v>948</v>
      </c>
      <c r="D157">
        <f t="shared" si="5"/>
        <v>81907200</v>
      </c>
    </row>
    <row r="158" spans="1:4" x14ac:dyDescent="0.25">
      <c r="A158" s="76">
        <v>43975</v>
      </c>
      <c r="B158" s="76">
        <v>43975</v>
      </c>
      <c r="C158">
        <v>950</v>
      </c>
      <c r="D158">
        <f t="shared" si="5"/>
        <v>82080000</v>
      </c>
    </row>
    <row r="159" spans="1:4" x14ac:dyDescent="0.25">
      <c r="A159" s="76">
        <v>43976</v>
      </c>
      <c r="B159" s="76">
        <v>43976</v>
      </c>
      <c r="C159">
        <v>947</v>
      </c>
      <c r="D159">
        <f t="shared" si="5"/>
        <v>81820800</v>
      </c>
    </row>
    <row r="160" spans="1:4" x14ac:dyDescent="0.25">
      <c r="A160" s="76">
        <v>43977</v>
      </c>
      <c r="B160" s="76">
        <v>43977</v>
      </c>
      <c r="C160">
        <v>1922</v>
      </c>
      <c r="D160">
        <f t="shared" si="5"/>
        <v>166060800</v>
      </c>
    </row>
    <row r="161" spans="1:7" x14ac:dyDescent="0.25">
      <c r="A161" s="76">
        <v>43978</v>
      </c>
      <c r="B161" s="76">
        <v>43978</v>
      </c>
      <c r="C161">
        <v>4728</v>
      </c>
      <c r="D161">
        <f t="shared" si="5"/>
        <v>408499200</v>
      </c>
    </row>
    <row r="162" spans="1:7" x14ac:dyDescent="0.25">
      <c r="A162" s="76">
        <v>43979</v>
      </c>
      <c r="B162" s="76">
        <v>43979</v>
      </c>
      <c r="C162">
        <v>4731</v>
      </c>
      <c r="D162">
        <f t="shared" si="5"/>
        <v>408758400</v>
      </c>
    </row>
    <row r="163" spans="1:7" x14ac:dyDescent="0.25">
      <c r="A163" s="76">
        <v>43980</v>
      </c>
      <c r="B163" s="76">
        <v>43980</v>
      </c>
      <c r="C163">
        <v>4733</v>
      </c>
      <c r="D163">
        <f t="shared" si="5"/>
        <v>408931200</v>
      </c>
    </row>
    <row r="164" spans="1:7" x14ac:dyDescent="0.25">
      <c r="A164" s="76">
        <v>43981</v>
      </c>
      <c r="B164" s="76">
        <v>43981</v>
      </c>
      <c r="C164">
        <v>4731</v>
      </c>
      <c r="D164">
        <f t="shared" si="5"/>
        <v>408758400</v>
      </c>
    </row>
    <row r="165" spans="1:7" x14ac:dyDescent="0.25">
      <c r="A165" s="76">
        <v>43982</v>
      </c>
      <c r="B165" s="76">
        <v>43982</v>
      </c>
      <c r="C165">
        <v>4729</v>
      </c>
      <c r="D165">
        <f t="shared" si="5"/>
        <v>408585600</v>
      </c>
    </row>
    <row r="166" spans="1:7" x14ac:dyDescent="0.25">
      <c r="A166" s="76">
        <v>43983</v>
      </c>
      <c r="B166" s="76">
        <v>43983</v>
      </c>
      <c r="C166">
        <v>4711</v>
      </c>
      <c r="D166">
        <f t="shared" si="5"/>
        <v>407030400</v>
      </c>
      <c r="F166" s="82">
        <v>43983</v>
      </c>
      <c r="G166">
        <f>SUM(D166:D195)</f>
        <v>6819292800</v>
      </c>
    </row>
    <row r="167" spans="1:7" x14ac:dyDescent="0.25">
      <c r="A167" s="76">
        <v>43984</v>
      </c>
      <c r="B167" s="76">
        <v>43984</v>
      </c>
      <c r="C167">
        <v>4710</v>
      </c>
      <c r="D167">
        <f t="shared" si="5"/>
        <v>406944000</v>
      </c>
    </row>
    <row r="168" spans="1:7" x14ac:dyDescent="0.25">
      <c r="A168" s="76">
        <v>43985</v>
      </c>
      <c r="B168" s="76">
        <v>43985</v>
      </c>
      <c r="C168">
        <v>4710</v>
      </c>
      <c r="D168">
        <f t="shared" si="5"/>
        <v>406944000</v>
      </c>
    </row>
    <row r="169" spans="1:7" x14ac:dyDescent="0.25">
      <c r="A169" s="76">
        <v>43986</v>
      </c>
      <c r="B169" s="76">
        <v>43986</v>
      </c>
      <c r="C169">
        <v>4709</v>
      </c>
      <c r="D169">
        <f t="shared" si="5"/>
        <v>406857600</v>
      </c>
    </row>
    <row r="170" spans="1:7" x14ac:dyDescent="0.25">
      <c r="A170" s="76">
        <v>43987</v>
      </c>
      <c r="B170" s="76">
        <v>43987</v>
      </c>
      <c r="C170">
        <v>4709</v>
      </c>
      <c r="D170">
        <f t="shared" si="5"/>
        <v>406857600</v>
      </c>
    </row>
    <row r="171" spans="1:7" x14ac:dyDescent="0.25">
      <c r="A171" s="76">
        <v>43988</v>
      </c>
      <c r="B171" s="76">
        <v>43988</v>
      </c>
      <c r="C171">
        <v>4707</v>
      </c>
      <c r="D171">
        <f t="shared" si="5"/>
        <v>406684800</v>
      </c>
    </row>
    <row r="172" spans="1:7" x14ac:dyDescent="0.25">
      <c r="A172" s="76">
        <v>43989</v>
      </c>
      <c r="B172" s="76">
        <v>43989</v>
      </c>
      <c r="C172">
        <v>4701</v>
      </c>
      <c r="D172">
        <f t="shared" si="5"/>
        <v>406166400</v>
      </c>
    </row>
    <row r="173" spans="1:7" x14ac:dyDescent="0.25">
      <c r="A173" s="76">
        <v>43990</v>
      </c>
      <c r="B173" s="76">
        <v>43990</v>
      </c>
      <c r="C173">
        <v>4685</v>
      </c>
      <c r="D173">
        <f t="shared" si="5"/>
        <v>404784000</v>
      </c>
    </row>
    <row r="174" spans="1:7" x14ac:dyDescent="0.25">
      <c r="A174" s="76">
        <v>43991</v>
      </c>
      <c r="B174" s="76">
        <v>43991</v>
      </c>
      <c r="C174">
        <v>4189</v>
      </c>
      <c r="D174">
        <f t="shared" si="5"/>
        <v>361929600</v>
      </c>
    </row>
    <row r="175" spans="1:7" x14ac:dyDescent="0.25">
      <c r="A175" s="76">
        <v>43992</v>
      </c>
      <c r="B175" s="76">
        <v>43992</v>
      </c>
      <c r="C175">
        <v>4249</v>
      </c>
      <c r="D175">
        <f t="shared" si="5"/>
        <v>367113600</v>
      </c>
    </row>
    <row r="176" spans="1:7" x14ac:dyDescent="0.25">
      <c r="A176" s="76">
        <v>43993</v>
      </c>
      <c r="B176" s="76">
        <v>43993</v>
      </c>
      <c r="C176">
        <v>3899</v>
      </c>
      <c r="D176">
        <f t="shared" si="5"/>
        <v>336873600</v>
      </c>
    </row>
    <row r="177" spans="1:4" x14ac:dyDescent="0.25">
      <c r="A177" s="76">
        <v>43994</v>
      </c>
      <c r="B177" s="76">
        <v>43994</v>
      </c>
      <c r="C177">
        <v>3562</v>
      </c>
      <c r="D177">
        <f t="shared" si="5"/>
        <v>307756800</v>
      </c>
    </row>
    <row r="178" spans="1:4" x14ac:dyDescent="0.25">
      <c r="A178" s="76">
        <v>43995</v>
      </c>
      <c r="B178" s="76">
        <v>43995</v>
      </c>
      <c r="C178">
        <v>3198</v>
      </c>
      <c r="D178">
        <f t="shared" si="5"/>
        <v>276307200</v>
      </c>
    </row>
    <row r="179" spans="1:4" x14ac:dyDescent="0.25">
      <c r="A179" s="76">
        <v>43996</v>
      </c>
      <c r="B179" s="76">
        <v>43996</v>
      </c>
      <c r="C179">
        <v>2886</v>
      </c>
      <c r="D179">
        <f t="shared" si="5"/>
        <v>249350400</v>
      </c>
    </row>
    <row r="180" spans="1:4" x14ac:dyDescent="0.25">
      <c r="A180" s="76">
        <v>43997</v>
      </c>
      <c r="B180" s="76">
        <v>43997</v>
      </c>
      <c r="C180">
        <v>2549</v>
      </c>
      <c r="D180">
        <f t="shared" si="5"/>
        <v>220233600</v>
      </c>
    </row>
    <row r="181" spans="1:4" x14ac:dyDescent="0.25">
      <c r="A181" s="76">
        <v>43998</v>
      </c>
      <c r="B181" s="76">
        <v>43998</v>
      </c>
      <c r="C181">
        <v>2202</v>
      </c>
      <c r="D181">
        <f t="shared" si="5"/>
        <v>190252800</v>
      </c>
    </row>
    <row r="182" spans="1:4" x14ac:dyDescent="0.25">
      <c r="A182" s="76">
        <v>43999</v>
      </c>
      <c r="B182" s="76">
        <v>43999</v>
      </c>
      <c r="C182">
        <v>1798</v>
      </c>
      <c r="D182">
        <f t="shared" si="5"/>
        <v>155347200</v>
      </c>
    </row>
    <row r="183" spans="1:4" x14ac:dyDescent="0.25">
      <c r="A183" s="76">
        <v>44000</v>
      </c>
      <c r="B183" s="76">
        <v>44000</v>
      </c>
      <c r="C183">
        <v>1451</v>
      </c>
      <c r="D183">
        <f t="shared" si="5"/>
        <v>125366400</v>
      </c>
    </row>
    <row r="184" spans="1:4" x14ac:dyDescent="0.25">
      <c r="A184" s="76">
        <v>44001</v>
      </c>
      <c r="B184" s="76">
        <v>44001</v>
      </c>
      <c r="C184">
        <v>1074</v>
      </c>
      <c r="D184">
        <f t="shared" si="5"/>
        <v>92793600</v>
      </c>
    </row>
    <row r="185" spans="1:4" x14ac:dyDescent="0.25">
      <c r="A185" s="76">
        <v>44002</v>
      </c>
      <c r="B185" s="76">
        <v>44002</v>
      </c>
      <c r="C185">
        <v>940</v>
      </c>
      <c r="D185">
        <f t="shared" si="5"/>
        <v>81216000</v>
      </c>
    </row>
    <row r="186" spans="1:4" x14ac:dyDescent="0.25">
      <c r="A186" s="76">
        <v>44003</v>
      </c>
      <c r="B186" s="76">
        <v>44003</v>
      </c>
      <c r="C186">
        <v>951</v>
      </c>
      <c r="D186">
        <f t="shared" si="5"/>
        <v>82166400</v>
      </c>
    </row>
    <row r="187" spans="1:4" x14ac:dyDescent="0.25">
      <c r="A187" s="76">
        <v>44004</v>
      </c>
      <c r="B187" s="76">
        <v>44004</v>
      </c>
      <c r="C187">
        <v>951</v>
      </c>
      <c r="D187">
        <f t="shared" si="5"/>
        <v>82166400</v>
      </c>
    </row>
    <row r="188" spans="1:4" x14ac:dyDescent="0.25">
      <c r="A188" s="76">
        <v>44005</v>
      </c>
      <c r="B188" s="76">
        <v>44005</v>
      </c>
      <c r="C188">
        <v>902</v>
      </c>
      <c r="D188">
        <f t="shared" si="5"/>
        <v>77932800</v>
      </c>
    </row>
    <row r="189" spans="1:4" x14ac:dyDescent="0.25">
      <c r="A189" s="76">
        <v>44006</v>
      </c>
      <c r="B189" s="76">
        <v>44006</v>
      </c>
      <c r="C189">
        <v>902</v>
      </c>
      <c r="D189">
        <f t="shared" si="5"/>
        <v>77932800</v>
      </c>
    </row>
    <row r="190" spans="1:4" x14ac:dyDescent="0.25">
      <c r="A190" s="76">
        <v>44007</v>
      </c>
      <c r="B190" s="76">
        <v>44007</v>
      </c>
      <c r="C190">
        <v>902</v>
      </c>
      <c r="D190">
        <f t="shared" si="5"/>
        <v>77932800</v>
      </c>
    </row>
    <row r="191" spans="1:4" x14ac:dyDescent="0.25">
      <c r="A191" s="76">
        <v>44008</v>
      </c>
      <c r="B191" s="76">
        <v>44008</v>
      </c>
      <c r="C191">
        <v>902</v>
      </c>
      <c r="D191">
        <f t="shared" si="5"/>
        <v>77932800</v>
      </c>
    </row>
    <row r="192" spans="1:4" x14ac:dyDescent="0.25">
      <c r="A192" s="76">
        <v>44009</v>
      </c>
      <c r="B192" s="76">
        <v>44009</v>
      </c>
      <c r="C192">
        <v>902</v>
      </c>
      <c r="D192">
        <f t="shared" si="5"/>
        <v>77932800</v>
      </c>
    </row>
    <row r="193" spans="1:7" x14ac:dyDescent="0.25">
      <c r="A193" s="76">
        <v>44010</v>
      </c>
      <c r="B193" s="76">
        <v>44010</v>
      </c>
      <c r="C193">
        <v>900</v>
      </c>
      <c r="D193">
        <f t="shared" si="5"/>
        <v>77760000</v>
      </c>
    </row>
    <row r="194" spans="1:7" x14ac:dyDescent="0.25">
      <c r="A194" s="76">
        <v>44011</v>
      </c>
      <c r="B194" s="76">
        <v>44011</v>
      </c>
      <c r="C194">
        <v>949</v>
      </c>
      <c r="D194">
        <f t="shared" si="5"/>
        <v>81993600</v>
      </c>
    </row>
    <row r="195" spans="1:7" x14ac:dyDescent="0.25">
      <c r="A195" s="76">
        <v>44012</v>
      </c>
      <c r="B195" s="76">
        <v>44012</v>
      </c>
      <c r="C195">
        <v>1027</v>
      </c>
      <c r="D195">
        <f t="shared" si="5"/>
        <v>88732800</v>
      </c>
    </row>
    <row r="196" spans="1:7" x14ac:dyDescent="0.25">
      <c r="A196" s="76">
        <v>44013</v>
      </c>
      <c r="B196" s="76">
        <v>44013</v>
      </c>
      <c r="C196">
        <v>1091</v>
      </c>
      <c r="D196">
        <f t="shared" si="5"/>
        <v>94262400</v>
      </c>
      <c r="F196" s="82">
        <v>44013</v>
      </c>
      <c r="G196">
        <f>SUM(D196:D226)</f>
        <v>3907699200</v>
      </c>
    </row>
    <row r="197" spans="1:7" x14ac:dyDescent="0.25">
      <c r="A197" s="76">
        <v>44014</v>
      </c>
      <c r="B197" s="76">
        <v>44014</v>
      </c>
      <c r="C197">
        <v>1091</v>
      </c>
      <c r="D197">
        <f t="shared" si="5"/>
        <v>94262400</v>
      </c>
    </row>
    <row r="198" spans="1:7" x14ac:dyDescent="0.25">
      <c r="A198" s="76">
        <v>44015</v>
      </c>
      <c r="B198" s="76">
        <v>44015</v>
      </c>
      <c r="C198">
        <v>1091</v>
      </c>
      <c r="D198">
        <f t="shared" si="5"/>
        <v>94262400</v>
      </c>
    </row>
    <row r="199" spans="1:7" x14ac:dyDescent="0.25">
      <c r="A199" s="76">
        <v>44016</v>
      </c>
      <c r="B199" s="76">
        <v>44016</v>
      </c>
      <c r="C199">
        <v>1094</v>
      </c>
      <c r="D199">
        <f t="shared" si="5"/>
        <v>94521600</v>
      </c>
    </row>
    <row r="200" spans="1:7" x14ac:dyDescent="0.25">
      <c r="A200" s="76">
        <v>44017</v>
      </c>
      <c r="B200" s="76">
        <v>44017</v>
      </c>
      <c r="C200">
        <v>1034</v>
      </c>
      <c r="D200">
        <f t="shared" si="5"/>
        <v>89337600</v>
      </c>
    </row>
    <row r="201" spans="1:7" x14ac:dyDescent="0.25">
      <c r="A201" s="76">
        <v>44018</v>
      </c>
      <c r="B201" s="76">
        <v>44018</v>
      </c>
      <c r="C201">
        <v>1034</v>
      </c>
      <c r="D201">
        <f t="shared" si="5"/>
        <v>89337600</v>
      </c>
    </row>
    <row r="202" spans="1:7" x14ac:dyDescent="0.25">
      <c r="A202" s="76">
        <v>44019</v>
      </c>
      <c r="B202" s="76">
        <v>44019</v>
      </c>
      <c r="C202">
        <v>1093</v>
      </c>
      <c r="D202">
        <f t="shared" si="5"/>
        <v>94435200</v>
      </c>
    </row>
    <row r="203" spans="1:7" x14ac:dyDescent="0.25">
      <c r="A203" s="76">
        <v>44020</v>
      </c>
      <c r="B203" s="76">
        <v>44020</v>
      </c>
      <c r="C203">
        <v>1081</v>
      </c>
      <c r="D203">
        <f t="shared" si="5"/>
        <v>93398400</v>
      </c>
    </row>
    <row r="204" spans="1:7" x14ac:dyDescent="0.25">
      <c r="A204" s="76">
        <v>44021</v>
      </c>
      <c r="B204" s="76">
        <v>44021</v>
      </c>
      <c r="C204">
        <v>1131</v>
      </c>
      <c r="D204">
        <f t="shared" si="5"/>
        <v>97718400</v>
      </c>
    </row>
    <row r="205" spans="1:7" x14ac:dyDescent="0.25">
      <c r="A205" s="76">
        <v>44022</v>
      </c>
      <c r="B205" s="76">
        <v>44022</v>
      </c>
      <c r="C205">
        <v>1232</v>
      </c>
      <c r="D205">
        <f t="shared" si="5"/>
        <v>106444800</v>
      </c>
    </row>
    <row r="206" spans="1:7" x14ac:dyDescent="0.25">
      <c r="A206" s="76">
        <v>44023</v>
      </c>
      <c r="B206" s="76">
        <v>44023</v>
      </c>
      <c r="C206">
        <v>1187</v>
      </c>
      <c r="D206">
        <f t="shared" ref="D206:D269" si="6">C206*86400</f>
        <v>102556800</v>
      </c>
    </row>
    <row r="207" spans="1:7" x14ac:dyDescent="0.25">
      <c r="A207" s="76">
        <v>44024</v>
      </c>
      <c r="B207" s="76">
        <v>44024</v>
      </c>
      <c r="C207">
        <v>1220</v>
      </c>
      <c r="D207">
        <f t="shared" si="6"/>
        <v>105408000</v>
      </c>
    </row>
    <row r="208" spans="1:7" x14ac:dyDescent="0.25">
      <c r="A208" s="76">
        <v>44025</v>
      </c>
      <c r="B208" s="76">
        <v>44025</v>
      </c>
      <c r="C208">
        <v>1368</v>
      </c>
      <c r="D208">
        <f t="shared" si="6"/>
        <v>118195200</v>
      </c>
    </row>
    <row r="209" spans="1:4" x14ac:dyDescent="0.25">
      <c r="A209" s="76">
        <v>44026</v>
      </c>
      <c r="B209" s="76">
        <v>44026</v>
      </c>
      <c r="C209">
        <v>1329</v>
      </c>
      <c r="D209">
        <f t="shared" si="6"/>
        <v>114825600</v>
      </c>
    </row>
    <row r="210" spans="1:4" x14ac:dyDescent="0.25">
      <c r="A210" s="76">
        <v>44027</v>
      </c>
      <c r="B210" s="76">
        <v>44027</v>
      </c>
      <c r="C210">
        <v>1334</v>
      </c>
      <c r="D210">
        <f t="shared" si="6"/>
        <v>115257600</v>
      </c>
    </row>
    <row r="211" spans="1:4" x14ac:dyDescent="0.25">
      <c r="A211" s="76">
        <v>44028</v>
      </c>
      <c r="B211" s="76">
        <v>44028</v>
      </c>
      <c r="C211">
        <v>1561</v>
      </c>
      <c r="D211">
        <f t="shared" si="6"/>
        <v>134870400</v>
      </c>
    </row>
    <row r="212" spans="1:4" x14ac:dyDescent="0.25">
      <c r="A212" s="76">
        <v>44029</v>
      </c>
      <c r="B212" s="76">
        <v>44029</v>
      </c>
      <c r="C212">
        <v>1690</v>
      </c>
      <c r="D212">
        <f t="shared" si="6"/>
        <v>146016000</v>
      </c>
    </row>
    <row r="213" spans="1:4" x14ac:dyDescent="0.25">
      <c r="A213" s="76">
        <v>44030</v>
      </c>
      <c r="B213" s="76">
        <v>44030</v>
      </c>
      <c r="C213">
        <v>1724</v>
      </c>
      <c r="D213">
        <f t="shared" si="6"/>
        <v>148953600</v>
      </c>
    </row>
    <row r="214" spans="1:4" x14ac:dyDescent="0.25">
      <c r="A214" s="76">
        <v>44031</v>
      </c>
      <c r="B214" s="76">
        <v>44031</v>
      </c>
      <c r="C214">
        <v>1780</v>
      </c>
      <c r="D214">
        <f t="shared" si="6"/>
        <v>153792000</v>
      </c>
    </row>
    <row r="215" spans="1:4" x14ac:dyDescent="0.25">
      <c r="A215" s="76">
        <v>44032</v>
      </c>
      <c r="B215" s="76">
        <v>44032</v>
      </c>
      <c r="C215">
        <v>1791</v>
      </c>
      <c r="D215">
        <f t="shared" si="6"/>
        <v>154742400</v>
      </c>
    </row>
    <row r="216" spans="1:4" x14ac:dyDescent="0.25">
      <c r="A216" s="76">
        <v>44033</v>
      </c>
      <c r="B216" s="76">
        <v>44033</v>
      </c>
      <c r="C216">
        <v>1798</v>
      </c>
      <c r="D216">
        <f t="shared" si="6"/>
        <v>155347200</v>
      </c>
    </row>
    <row r="217" spans="1:4" x14ac:dyDescent="0.25">
      <c r="A217" s="76">
        <v>44034</v>
      </c>
      <c r="B217" s="76">
        <v>44034</v>
      </c>
      <c r="C217">
        <v>1798</v>
      </c>
      <c r="D217">
        <f t="shared" si="6"/>
        <v>155347200</v>
      </c>
    </row>
    <row r="218" spans="1:4" x14ac:dyDescent="0.25">
      <c r="A218" s="76">
        <v>44035</v>
      </c>
      <c r="B218" s="76">
        <v>44035</v>
      </c>
      <c r="C218">
        <v>1738</v>
      </c>
      <c r="D218">
        <f t="shared" si="6"/>
        <v>150163200</v>
      </c>
    </row>
    <row r="219" spans="1:4" x14ac:dyDescent="0.25">
      <c r="A219" s="76">
        <v>44036</v>
      </c>
      <c r="B219" s="76">
        <v>44036</v>
      </c>
      <c r="C219">
        <v>1733</v>
      </c>
      <c r="D219">
        <f t="shared" si="6"/>
        <v>149731200</v>
      </c>
    </row>
    <row r="220" spans="1:4" x14ac:dyDescent="0.25">
      <c r="A220" s="76">
        <v>44037</v>
      </c>
      <c r="B220" s="76">
        <v>44037</v>
      </c>
      <c r="C220">
        <v>1733</v>
      </c>
      <c r="D220">
        <f t="shared" si="6"/>
        <v>149731200</v>
      </c>
    </row>
    <row r="221" spans="1:4" x14ac:dyDescent="0.25">
      <c r="A221" s="76">
        <v>44038</v>
      </c>
      <c r="B221" s="76">
        <v>44038</v>
      </c>
      <c r="C221">
        <v>1735</v>
      </c>
      <c r="D221">
        <f t="shared" si="6"/>
        <v>149904000</v>
      </c>
    </row>
    <row r="222" spans="1:4" x14ac:dyDescent="0.25">
      <c r="A222" s="76">
        <v>44039</v>
      </c>
      <c r="B222" s="76">
        <v>44039</v>
      </c>
      <c r="C222">
        <v>1751</v>
      </c>
      <c r="D222">
        <f t="shared" si="6"/>
        <v>151286400</v>
      </c>
    </row>
    <row r="223" spans="1:4" x14ac:dyDescent="0.25">
      <c r="A223" s="76">
        <v>44040</v>
      </c>
      <c r="B223" s="76">
        <v>44040</v>
      </c>
      <c r="C223">
        <v>1739</v>
      </c>
      <c r="D223">
        <f t="shared" si="6"/>
        <v>150249600</v>
      </c>
    </row>
    <row r="224" spans="1:4" x14ac:dyDescent="0.25">
      <c r="A224" s="76">
        <v>44041</v>
      </c>
      <c r="B224" s="76">
        <v>44041</v>
      </c>
      <c r="C224">
        <v>1753</v>
      </c>
      <c r="D224">
        <f t="shared" si="6"/>
        <v>151459200</v>
      </c>
    </row>
    <row r="225" spans="1:7" x14ac:dyDescent="0.25">
      <c r="A225" s="76">
        <v>44042</v>
      </c>
      <c r="B225" s="76">
        <v>44042</v>
      </c>
      <c r="C225">
        <v>1749</v>
      </c>
      <c r="D225">
        <f t="shared" si="6"/>
        <v>151113600</v>
      </c>
    </row>
    <row r="226" spans="1:7" x14ac:dyDescent="0.25">
      <c r="A226" s="76">
        <v>44043</v>
      </c>
      <c r="B226" s="76">
        <v>44043</v>
      </c>
      <c r="C226">
        <v>1745</v>
      </c>
      <c r="D226">
        <f t="shared" si="6"/>
        <v>150768000</v>
      </c>
    </row>
    <row r="227" spans="1:7" x14ac:dyDescent="0.25">
      <c r="A227" s="76">
        <v>44044</v>
      </c>
      <c r="B227" s="76">
        <v>44044</v>
      </c>
      <c r="C227">
        <v>1733</v>
      </c>
      <c r="D227">
        <f t="shared" si="6"/>
        <v>149731200</v>
      </c>
      <c r="F227" s="82">
        <v>44044</v>
      </c>
      <c r="G227">
        <f>SUM(D227:D257)</f>
        <v>4892918400</v>
      </c>
    </row>
    <row r="228" spans="1:7" x14ac:dyDescent="0.25">
      <c r="A228" s="76">
        <v>44045</v>
      </c>
      <c r="B228" s="76">
        <v>44045</v>
      </c>
      <c r="C228">
        <v>1735</v>
      </c>
      <c r="D228">
        <f t="shared" si="6"/>
        <v>149904000</v>
      </c>
    </row>
    <row r="229" spans="1:7" x14ac:dyDescent="0.25">
      <c r="A229" s="76">
        <v>44046</v>
      </c>
      <c r="B229" s="76">
        <v>44046</v>
      </c>
      <c r="C229">
        <v>1743</v>
      </c>
      <c r="D229">
        <f t="shared" si="6"/>
        <v>150595200</v>
      </c>
    </row>
    <row r="230" spans="1:7" x14ac:dyDescent="0.25">
      <c r="A230" s="76">
        <v>44047</v>
      </c>
      <c r="B230" s="76">
        <v>44047</v>
      </c>
      <c r="C230">
        <v>1737</v>
      </c>
      <c r="D230">
        <f t="shared" si="6"/>
        <v>150076800</v>
      </c>
    </row>
    <row r="231" spans="1:7" x14ac:dyDescent="0.25">
      <c r="A231" s="76">
        <v>44048</v>
      </c>
      <c r="B231" s="76">
        <v>44048</v>
      </c>
      <c r="C231">
        <v>1746</v>
      </c>
      <c r="D231">
        <f t="shared" si="6"/>
        <v>150854400</v>
      </c>
    </row>
    <row r="232" spans="1:7" x14ac:dyDescent="0.25">
      <c r="A232" s="76">
        <v>44049</v>
      </c>
      <c r="B232" s="76">
        <v>44049</v>
      </c>
      <c r="C232">
        <v>1748</v>
      </c>
      <c r="D232">
        <f t="shared" si="6"/>
        <v>151027200</v>
      </c>
    </row>
    <row r="233" spans="1:7" x14ac:dyDescent="0.25">
      <c r="A233" s="76">
        <v>44050</v>
      </c>
      <c r="B233" s="76">
        <v>44050</v>
      </c>
      <c r="C233">
        <v>1798</v>
      </c>
      <c r="D233">
        <f t="shared" si="6"/>
        <v>155347200</v>
      </c>
    </row>
    <row r="234" spans="1:7" x14ac:dyDescent="0.25">
      <c r="A234" s="76">
        <v>44051</v>
      </c>
      <c r="B234" s="76">
        <v>44051</v>
      </c>
      <c r="C234">
        <v>1793</v>
      </c>
      <c r="D234">
        <f t="shared" si="6"/>
        <v>154915200</v>
      </c>
    </row>
    <row r="235" spans="1:7" x14ac:dyDescent="0.25">
      <c r="A235" s="76">
        <v>44052</v>
      </c>
      <c r="B235" s="76">
        <v>44052</v>
      </c>
      <c r="C235">
        <v>1812</v>
      </c>
      <c r="D235">
        <f t="shared" si="6"/>
        <v>156556800</v>
      </c>
    </row>
    <row r="236" spans="1:7" x14ac:dyDescent="0.25">
      <c r="A236" s="76">
        <v>44053</v>
      </c>
      <c r="B236" s="76">
        <v>44053</v>
      </c>
      <c r="C236">
        <v>1802</v>
      </c>
      <c r="D236">
        <f t="shared" si="6"/>
        <v>155692800</v>
      </c>
    </row>
    <row r="237" spans="1:7" x14ac:dyDescent="0.25">
      <c r="A237" s="76">
        <v>44054</v>
      </c>
      <c r="B237" s="76">
        <v>44054</v>
      </c>
      <c r="C237">
        <v>1818</v>
      </c>
      <c r="D237">
        <f t="shared" si="6"/>
        <v>157075200</v>
      </c>
    </row>
    <row r="238" spans="1:7" x14ac:dyDescent="0.25">
      <c r="A238" s="76">
        <v>44055</v>
      </c>
      <c r="B238" s="76">
        <v>44055</v>
      </c>
      <c r="C238">
        <v>1803</v>
      </c>
      <c r="D238">
        <f t="shared" si="6"/>
        <v>155779200</v>
      </c>
    </row>
    <row r="239" spans="1:7" x14ac:dyDescent="0.25">
      <c r="A239" s="76">
        <v>44056</v>
      </c>
      <c r="B239" s="76">
        <v>44056</v>
      </c>
      <c r="C239">
        <v>1790</v>
      </c>
      <c r="D239">
        <f t="shared" si="6"/>
        <v>154656000</v>
      </c>
    </row>
    <row r="240" spans="1:7" x14ac:dyDescent="0.25">
      <c r="A240" s="76">
        <v>44057</v>
      </c>
      <c r="B240" s="76">
        <v>44057</v>
      </c>
      <c r="C240">
        <v>1832</v>
      </c>
      <c r="D240">
        <f t="shared" si="6"/>
        <v>158284800</v>
      </c>
    </row>
    <row r="241" spans="1:4" x14ac:dyDescent="0.25">
      <c r="A241" s="76">
        <v>44058</v>
      </c>
      <c r="B241" s="76">
        <v>44058</v>
      </c>
      <c r="C241">
        <v>1858</v>
      </c>
      <c r="D241">
        <f t="shared" si="6"/>
        <v>160531200</v>
      </c>
    </row>
    <row r="242" spans="1:4" x14ac:dyDescent="0.25">
      <c r="A242" s="76">
        <v>44059</v>
      </c>
      <c r="B242" s="76">
        <v>44059</v>
      </c>
      <c r="C242">
        <v>1863</v>
      </c>
      <c r="D242">
        <f t="shared" si="6"/>
        <v>160963200</v>
      </c>
    </row>
    <row r="243" spans="1:4" x14ac:dyDescent="0.25">
      <c r="A243" s="76">
        <v>44060</v>
      </c>
      <c r="B243" s="76">
        <v>44060</v>
      </c>
      <c r="C243">
        <v>1872</v>
      </c>
      <c r="D243">
        <f t="shared" si="6"/>
        <v>161740800</v>
      </c>
    </row>
    <row r="244" spans="1:4" x14ac:dyDescent="0.25">
      <c r="A244" s="76">
        <v>44061</v>
      </c>
      <c r="B244" s="76">
        <v>44061</v>
      </c>
      <c r="C244">
        <v>1883</v>
      </c>
      <c r="D244">
        <f t="shared" si="6"/>
        <v>162691200</v>
      </c>
    </row>
    <row r="245" spans="1:4" x14ac:dyDescent="0.25">
      <c r="A245" s="76">
        <v>44062</v>
      </c>
      <c r="B245" s="76">
        <v>44062</v>
      </c>
      <c r="C245">
        <v>1866</v>
      </c>
      <c r="D245">
        <f t="shared" si="6"/>
        <v>161222400</v>
      </c>
    </row>
    <row r="246" spans="1:4" x14ac:dyDescent="0.25">
      <c r="A246" s="76">
        <v>44063</v>
      </c>
      <c r="B246" s="76">
        <v>44063</v>
      </c>
      <c r="C246">
        <v>1884</v>
      </c>
      <c r="D246">
        <f t="shared" si="6"/>
        <v>162777600</v>
      </c>
    </row>
    <row r="247" spans="1:4" x14ac:dyDescent="0.25">
      <c r="A247" s="76">
        <v>44064</v>
      </c>
      <c r="B247" s="76">
        <v>44064</v>
      </c>
      <c r="C247">
        <v>1864</v>
      </c>
      <c r="D247">
        <f t="shared" si="6"/>
        <v>161049600</v>
      </c>
    </row>
    <row r="248" spans="1:4" x14ac:dyDescent="0.25">
      <c r="A248" s="76">
        <v>44065</v>
      </c>
      <c r="B248" s="76">
        <v>44065</v>
      </c>
      <c r="C248">
        <v>1863</v>
      </c>
      <c r="D248">
        <f t="shared" si="6"/>
        <v>160963200</v>
      </c>
    </row>
    <row r="249" spans="1:4" x14ac:dyDescent="0.25">
      <c r="A249" s="76">
        <v>44066</v>
      </c>
      <c r="B249" s="76">
        <v>44066</v>
      </c>
      <c r="C249">
        <v>1866</v>
      </c>
      <c r="D249">
        <f t="shared" si="6"/>
        <v>161222400</v>
      </c>
    </row>
    <row r="250" spans="1:4" x14ac:dyDescent="0.25">
      <c r="A250" s="76">
        <v>44067</v>
      </c>
      <c r="B250" s="76">
        <v>44067</v>
      </c>
      <c r="C250">
        <v>1856</v>
      </c>
      <c r="D250">
        <f t="shared" si="6"/>
        <v>160358400</v>
      </c>
    </row>
    <row r="251" spans="1:4" x14ac:dyDescent="0.25">
      <c r="A251" s="76">
        <v>44068</v>
      </c>
      <c r="B251" s="76">
        <v>44068</v>
      </c>
      <c r="C251">
        <v>1861</v>
      </c>
      <c r="D251">
        <f t="shared" si="6"/>
        <v>160790400</v>
      </c>
    </row>
    <row r="252" spans="1:4" x14ac:dyDescent="0.25">
      <c r="A252" s="76">
        <v>44069</v>
      </c>
      <c r="B252" s="76">
        <v>44069</v>
      </c>
      <c r="C252">
        <v>1864</v>
      </c>
      <c r="D252">
        <f t="shared" si="6"/>
        <v>161049600</v>
      </c>
    </row>
    <row r="253" spans="1:4" x14ac:dyDescent="0.25">
      <c r="A253" s="76">
        <v>44070</v>
      </c>
      <c r="B253" s="76">
        <v>44070</v>
      </c>
      <c r="C253">
        <v>1864</v>
      </c>
      <c r="D253">
        <f t="shared" si="6"/>
        <v>161049600</v>
      </c>
    </row>
    <row r="254" spans="1:4" x14ac:dyDescent="0.25">
      <c r="A254" s="76">
        <v>44071</v>
      </c>
      <c r="B254" s="76">
        <v>44071</v>
      </c>
      <c r="C254">
        <v>1865</v>
      </c>
      <c r="D254">
        <f t="shared" si="6"/>
        <v>161136000</v>
      </c>
    </row>
    <row r="255" spans="1:4" x14ac:dyDescent="0.25">
      <c r="A255" s="76">
        <v>44072</v>
      </c>
      <c r="B255" s="76">
        <v>44072</v>
      </c>
      <c r="C255">
        <v>1868</v>
      </c>
      <c r="D255">
        <f t="shared" si="6"/>
        <v>161395200</v>
      </c>
    </row>
    <row r="256" spans="1:4" x14ac:dyDescent="0.25">
      <c r="A256" s="76">
        <v>44073</v>
      </c>
      <c r="B256" s="76">
        <v>44073</v>
      </c>
      <c r="C256">
        <v>1867</v>
      </c>
      <c r="D256">
        <f t="shared" si="6"/>
        <v>161308800</v>
      </c>
    </row>
    <row r="257" spans="1:7" x14ac:dyDescent="0.25">
      <c r="A257" s="76">
        <v>44074</v>
      </c>
      <c r="B257" s="76">
        <v>44074</v>
      </c>
      <c r="C257">
        <v>1877</v>
      </c>
      <c r="D257">
        <f t="shared" si="6"/>
        <v>162172800</v>
      </c>
    </row>
    <row r="258" spans="1:7" x14ac:dyDescent="0.25">
      <c r="A258" s="76">
        <v>44075</v>
      </c>
      <c r="B258" s="76">
        <v>44075</v>
      </c>
      <c r="C258">
        <v>1874</v>
      </c>
      <c r="D258">
        <f t="shared" si="6"/>
        <v>161913600</v>
      </c>
      <c r="F258" s="82">
        <v>44075</v>
      </c>
      <c r="G258">
        <f>SUM(D258:D287)</f>
        <v>4287772800</v>
      </c>
    </row>
    <row r="259" spans="1:7" x14ac:dyDescent="0.25">
      <c r="A259" s="76">
        <v>44076</v>
      </c>
      <c r="B259" s="76">
        <v>44076</v>
      </c>
      <c r="C259">
        <v>1873</v>
      </c>
      <c r="D259">
        <f t="shared" si="6"/>
        <v>161827200</v>
      </c>
    </row>
    <row r="260" spans="1:7" x14ac:dyDescent="0.25">
      <c r="A260" s="76">
        <v>44077</v>
      </c>
      <c r="B260" s="76">
        <v>44077</v>
      </c>
      <c r="C260">
        <v>1795</v>
      </c>
      <c r="D260">
        <f t="shared" si="6"/>
        <v>155088000</v>
      </c>
    </row>
    <row r="261" spans="1:7" x14ac:dyDescent="0.25">
      <c r="A261" s="76">
        <v>44078</v>
      </c>
      <c r="B261" s="76">
        <v>44078</v>
      </c>
      <c r="C261">
        <v>1748</v>
      </c>
      <c r="D261">
        <f t="shared" si="6"/>
        <v>151027200</v>
      </c>
    </row>
    <row r="262" spans="1:7" x14ac:dyDescent="0.25">
      <c r="A262" s="76">
        <v>44079</v>
      </c>
      <c r="B262" s="76">
        <v>44079</v>
      </c>
      <c r="C262">
        <v>1710</v>
      </c>
      <c r="D262">
        <f t="shared" si="6"/>
        <v>147744000</v>
      </c>
    </row>
    <row r="263" spans="1:7" x14ac:dyDescent="0.25">
      <c r="A263" s="76">
        <v>44080</v>
      </c>
      <c r="B263" s="76">
        <v>44080</v>
      </c>
      <c r="C263">
        <v>1678</v>
      </c>
      <c r="D263">
        <f t="shared" si="6"/>
        <v>144979200</v>
      </c>
    </row>
    <row r="264" spans="1:7" x14ac:dyDescent="0.25">
      <c r="A264" s="76">
        <v>44081</v>
      </c>
      <c r="B264" s="76">
        <v>44081</v>
      </c>
      <c r="C264">
        <v>1614</v>
      </c>
      <c r="D264">
        <f t="shared" si="6"/>
        <v>139449600</v>
      </c>
    </row>
    <row r="265" spans="1:7" x14ac:dyDescent="0.25">
      <c r="A265" s="76">
        <v>44082</v>
      </c>
      <c r="B265" s="76">
        <v>44082</v>
      </c>
      <c r="C265">
        <v>1582</v>
      </c>
      <c r="D265">
        <f t="shared" si="6"/>
        <v>136684800</v>
      </c>
    </row>
    <row r="266" spans="1:7" x14ac:dyDescent="0.25">
      <c r="A266" s="76">
        <v>44083</v>
      </c>
      <c r="B266" s="76">
        <v>44083</v>
      </c>
      <c r="C266">
        <v>1614</v>
      </c>
      <c r="D266">
        <f t="shared" si="6"/>
        <v>139449600</v>
      </c>
    </row>
    <row r="267" spans="1:7" x14ac:dyDescent="0.25">
      <c r="A267" s="76">
        <v>44084</v>
      </c>
      <c r="B267" s="76">
        <v>44084</v>
      </c>
      <c r="C267">
        <v>1610</v>
      </c>
      <c r="D267">
        <f t="shared" si="6"/>
        <v>139104000</v>
      </c>
    </row>
    <row r="268" spans="1:7" x14ac:dyDescent="0.25">
      <c r="A268" s="76">
        <v>44085</v>
      </c>
      <c r="B268" s="76">
        <v>44085</v>
      </c>
      <c r="C268">
        <v>1614</v>
      </c>
      <c r="D268">
        <f t="shared" si="6"/>
        <v>139449600</v>
      </c>
    </row>
    <row r="269" spans="1:7" x14ac:dyDescent="0.25">
      <c r="A269" s="76">
        <v>44086</v>
      </c>
      <c r="B269" s="76">
        <v>44086</v>
      </c>
      <c r="C269">
        <v>1630</v>
      </c>
      <c r="D269">
        <f t="shared" si="6"/>
        <v>140832000</v>
      </c>
    </row>
    <row r="270" spans="1:7" x14ac:dyDescent="0.25">
      <c r="A270" s="76">
        <v>44087</v>
      </c>
      <c r="B270" s="76">
        <v>44087</v>
      </c>
      <c r="C270">
        <v>1635</v>
      </c>
      <c r="D270">
        <f t="shared" ref="D270:D318" si="7">C270*86400</f>
        <v>141264000</v>
      </c>
    </row>
    <row r="271" spans="1:7" x14ac:dyDescent="0.25">
      <c r="A271" s="76">
        <v>44088</v>
      </c>
      <c r="B271" s="76">
        <v>44088</v>
      </c>
      <c r="C271">
        <v>1632</v>
      </c>
      <c r="D271">
        <f t="shared" si="7"/>
        <v>141004800</v>
      </c>
    </row>
    <row r="272" spans="1:7" x14ac:dyDescent="0.25">
      <c r="A272" s="76">
        <v>44089</v>
      </c>
      <c r="B272" s="76">
        <v>44089</v>
      </c>
      <c r="C272">
        <v>1616</v>
      </c>
      <c r="D272">
        <f t="shared" si="7"/>
        <v>139622400</v>
      </c>
    </row>
    <row r="273" spans="1:7" x14ac:dyDescent="0.25">
      <c r="A273" s="76">
        <v>44090</v>
      </c>
      <c r="B273" s="76">
        <v>44090</v>
      </c>
      <c r="C273">
        <v>1629</v>
      </c>
      <c r="D273">
        <f t="shared" si="7"/>
        <v>140745600</v>
      </c>
    </row>
    <row r="274" spans="1:7" x14ac:dyDescent="0.25">
      <c r="A274" s="76">
        <v>44091</v>
      </c>
      <c r="B274" s="76">
        <v>44091</v>
      </c>
      <c r="C274">
        <v>1640</v>
      </c>
      <c r="D274">
        <f t="shared" si="7"/>
        <v>141696000</v>
      </c>
    </row>
    <row r="275" spans="1:7" x14ac:dyDescent="0.25">
      <c r="A275" s="76">
        <v>44092</v>
      </c>
      <c r="B275" s="76">
        <v>44092</v>
      </c>
      <c r="C275">
        <v>1641</v>
      </c>
      <c r="D275">
        <f t="shared" si="7"/>
        <v>141782400</v>
      </c>
    </row>
    <row r="276" spans="1:7" x14ac:dyDescent="0.25">
      <c r="A276" s="76">
        <v>44093</v>
      </c>
      <c r="B276" s="76">
        <v>44093</v>
      </c>
      <c r="C276">
        <v>1638</v>
      </c>
      <c r="D276">
        <f t="shared" si="7"/>
        <v>141523200</v>
      </c>
    </row>
    <row r="277" spans="1:7" x14ac:dyDescent="0.25">
      <c r="A277" s="76">
        <v>44094</v>
      </c>
      <c r="B277" s="76">
        <v>44094</v>
      </c>
      <c r="C277">
        <v>1639</v>
      </c>
      <c r="D277">
        <f t="shared" si="7"/>
        <v>141609600</v>
      </c>
    </row>
    <row r="278" spans="1:7" x14ac:dyDescent="0.25">
      <c r="A278" s="76">
        <v>44095</v>
      </c>
      <c r="B278" s="76">
        <v>44095</v>
      </c>
      <c r="C278">
        <v>1638</v>
      </c>
      <c r="D278">
        <f t="shared" si="7"/>
        <v>141523200</v>
      </c>
    </row>
    <row r="279" spans="1:7" x14ac:dyDescent="0.25">
      <c r="A279" s="76">
        <v>44096</v>
      </c>
      <c r="B279" s="76">
        <v>44096</v>
      </c>
      <c r="C279">
        <v>1640</v>
      </c>
      <c r="D279">
        <f t="shared" si="7"/>
        <v>141696000</v>
      </c>
    </row>
    <row r="280" spans="1:7" x14ac:dyDescent="0.25">
      <c r="A280" s="76">
        <v>44097</v>
      </c>
      <c r="B280" s="76">
        <v>44097</v>
      </c>
      <c r="C280">
        <v>1637</v>
      </c>
      <c r="D280">
        <f t="shared" si="7"/>
        <v>141436800</v>
      </c>
    </row>
    <row r="281" spans="1:7" x14ac:dyDescent="0.25">
      <c r="A281" s="76">
        <v>44098</v>
      </c>
      <c r="B281" s="76">
        <v>44098</v>
      </c>
      <c r="C281">
        <v>1632</v>
      </c>
      <c r="D281">
        <f t="shared" si="7"/>
        <v>141004800</v>
      </c>
    </row>
    <row r="282" spans="1:7" x14ac:dyDescent="0.25">
      <c r="A282" s="76">
        <v>44099</v>
      </c>
      <c r="B282" s="76">
        <v>44099</v>
      </c>
      <c r="C282">
        <v>1605</v>
      </c>
      <c r="D282">
        <f t="shared" si="7"/>
        <v>138672000</v>
      </c>
    </row>
    <row r="283" spans="1:7" x14ac:dyDescent="0.25">
      <c r="A283" s="76">
        <v>44100</v>
      </c>
      <c r="B283" s="76">
        <v>44100</v>
      </c>
      <c r="C283">
        <v>1612</v>
      </c>
      <c r="D283">
        <f t="shared" si="7"/>
        <v>139276800</v>
      </c>
    </row>
    <row r="284" spans="1:7" x14ac:dyDescent="0.25">
      <c r="A284" s="76">
        <v>44101</v>
      </c>
      <c r="B284" s="76">
        <v>44101</v>
      </c>
      <c r="C284">
        <v>1615</v>
      </c>
      <c r="D284">
        <f t="shared" si="7"/>
        <v>139536000</v>
      </c>
    </row>
    <row r="285" spans="1:7" x14ac:dyDescent="0.25">
      <c r="A285" s="76">
        <v>44102</v>
      </c>
      <c r="B285" s="76">
        <v>44102</v>
      </c>
      <c r="C285">
        <v>1621</v>
      </c>
      <c r="D285">
        <f t="shared" si="7"/>
        <v>140054400</v>
      </c>
    </row>
    <row r="286" spans="1:7" x14ac:dyDescent="0.25">
      <c r="A286" s="76">
        <v>44103</v>
      </c>
      <c r="B286" s="76">
        <v>44103</v>
      </c>
      <c r="C286">
        <v>1606</v>
      </c>
      <c r="D286">
        <f t="shared" si="7"/>
        <v>138758400</v>
      </c>
    </row>
    <row r="287" spans="1:7" x14ac:dyDescent="0.25">
      <c r="A287" s="76">
        <v>44104</v>
      </c>
      <c r="B287" s="76">
        <v>44104</v>
      </c>
      <c r="C287">
        <v>1609</v>
      </c>
      <c r="D287">
        <f t="shared" si="7"/>
        <v>139017600</v>
      </c>
    </row>
    <row r="288" spans="1:7" x14ac:dyDescent="0.25">
      <c r="A288" s="76">
        <v>44105</v>
      </c>
      <c r="B288" s="76">
        <v>44105</v>
      </c>
      <c r="C288">
        <v>1543</v>
      </c>
      <c r="D288">
        <f t="shared" si="7"/>
        <v>133315200</v>
      </c>
      <c r="F288" s="82">
        <v>44105</v>
      </c>
      <c r="G288">
        <f>SUM(D288:D318)</f>
        <v>2779488000</v>
      </c>
    </row>
    <row r="289" spans="1:4" x14ac:dyDescent="0.25">
      <c r="A289" s="76">
        <v>44106</v>
      </c>
      <c r="B289" s="76">
        <v>44106</v>
      </c>
      <c r="C289">
        <v>1504</v>
      </c>
      <c r="D289">
        <f t="shared" si="7"/>
        <v>129945600</v>
      </c>
    </row>
    <row r="290" spans="1:4" x14ac:dyDescent="0.25">
      <c r="A290" s="76">
        <v>44107</v>
      </c>
      <c r="B290" s="76">
        <v>44107</v>
      </c>
      <c r="C290">
        <v>1447</v>
      </c>
      <c r="D290">
        <f t="shared" si="7"/>
        <v>125020800</v>
      </c>
    </row>
    <row r="291" spans="1:4" x14ac:dyDescent="0.25">
      <c r="A291" s="76">
        <v>44108</v>
      </c>
      <c r="B291" s="76">
        <v>44108</v>
      </c>
      <c r="C291">
        <v>1399</v>
      </c>
      <c r="D291">
        <f t="shared" si="7"/>
        <v>120873600</v>
      </c>
    </row>
    <row r="292" spans="1:4" x14ac:dyDescent="0.25">
      <c r="A292" s="76">
        <v>44109</v>
      </c>
      <c r="B292" s="76">
        <v>44109</v>
      </c>
      <c r="C292">
        <v>1353</v>
      </c>
      <c r="D292">
        <f t="shared" si="7"/>
        <v>116899200</v>
      </c>
    </row>
    <row r="293" spans="1:4" x14ac:dyDescent="0.25">
      <c r="A293" s="76">
        <v>44110</v>
      </c>
      <c r="B293" s="76">
        <v>44110</v>
      </c>
      <c r="C293">
        <v>1287</v>
      </c>
      <c r="D293">
        <f t="shared" si="7"/>
        <v>111196800</v>
      </c>
    </row>
    <row r="294" spans="1:4" x14ac:dyDescent="0.25">
      <c r="A294" s="76">
        <v>44111</v>
      </c>
      <c r="B294" s="76">
        <v>44111</v>
      </c>
      <c r="C294">
        <v>1228</v>
      </c>
      <c r="D294">
        <f t="shared" si="7"/>
        <v>106099200</v>
      </c>
    </row>
    <row r="295" spans="1:4" x14ac:dyDescent="0.25">
      <c r="A295" s="76">
        <v>44112</v>
      </c>
      <c r="B295" s="76">
        <v>44112</v>
      </c>
      <c r="C295">
        <v>1166</v>
      </c>
      <c r="D295">
        <f t="shared" si="7"/>
        <v>100742400</v>
      </c>
    </row>
    <row r="296" spans="1:4" x14ac:dyDescent="0.25">
      <c r="A296" s="76">
        <v>44113</v>
      </c>
      <c r="B296" s="76">
        <v>44113</v>
      </c>
      <c r="C296">
        <v>1139</v>
      </c>
      <c r="D296">
        <f t="shared" si="7"/>
        <v>98409600</v>
      </c>
    </row>
    <row r="297" spans="1:4" x14ac:dyDescent="0.25">
      <c r="A297" s="76">
        <v>44114</v>
      </c>
      <c r="B297" s="76">
        <v>44114</v>
      </c>
      <c r="C297">
        <v>1110</v>
      </c>
      <c r="D297">
        <f t="shared" si="7"/>
        <v>95904000</v>
      </c>
    </row>
    <row r="298" spans="1:4" x14ac:dyDescent="0.25">
      <c r="A298" s="76">
        <v>44115</v>
      </c>
      <c r="B298" s="76">
        <v>44115</v>
      </c>
      <c r="C298">
        <v>1082</v>
      </c>
      <c r="D298">
        <f t="shared" si="7"/>
        <v>93484800</v>
      </c>
    </row>
    <row r="299" spans="1:4" x14ac:dyDescent="0.25">
      <c r="A299" s="76">
        <v>44116</v>
      </c>
      <c r="B299" s="76">
        <v>44116</v>
      </c>
      <c r="C299">
        <v>991</v>
      </c>
      <c r="D299">
        <f t="shared" si="7"/>
        <v>85622400</v>
      </c>
    </row>
    <row r="300" spans="1:4" x14ac:dyDescent="0.25">
      <c r="A300" s="76">
        <v>44117</v>
      </c>
      <c r="B300" s="76">
        <v>44117</v>
      </c>
      <c r="C300">
        <v>937</v>
      </c>
      <c r="D300">
        <f t="shared" si="7"/>
        <v>80956800</v>
      </c>
    </row>
    <row r="301" spans="1:4" x14ac:dyDescent="0.25">
      <c r="A301" s="76">
        <v>44118</v>
      </c>
      <c r="B301" s="76">
        <v>44118</v>
      </c>
      <c r="C301">
        <v>943</v>
      </c>
      <c r="D301">
        <f t="shared" si="7"/>
        <v>81475200</v>
      </c>
    </row>
    <row r="302" spans="1:4" x14ac:dyDescent="0.25">
      <c r="A302" s="76">
        <v>44119</v>
      </c>
      <c r="B302" s="76">
        <v>44119</v>
      </c>
      <c r="C302">
        <v>868</v>
      </c>
      <c r="D302">
        <f t="shared" si="7"/>
        <v>74995200</v>
      </c>
    </row>
    <row r="303" spans="1:4" x14ac:dyDescent="0.25">
      <c r="A303" s="76">
        <v>44120</v>
      </c>
      <c r="B303" s="76">
        <v>44120</v>
      </c>
      <c r="C303">
        <v>887</v>
      </c>
      <c r="D303">
        <f t="shared" si="7"/>
        <v>76636800</v>
      </c>
    </row>
    <row r="304" spans="1:4" x14ac:dyDescent="0.25">
      <c r="A304" s="76">
        <v>44121</v>
      </c>
      <c r="B304" s="76">
        <v>44121</v>
      </c>
      <c r="C304">
        <v>896</v>
      </c>
      <c r="D304">
        <f t="shared" si="7"/>
        <v>77414400</v>
      </c>
    </row>
    <row r="305" spans="1:4" x14ac:dyDescent="0.25">
      <c r="A305" s="76">
        <v>44122</v>
      </c>
      <c r="B305" s="76">
        <v>44122</v>
      </c>
      <c r="C305">
        <v>895</v>
      </c>
      <c r="D305">
        <f t="shared" si="7"/>
        <v>77328000</v>
      </c>
    </row>
    <row r="306" spans="1:4" x14ac:dyDescent="0.25">
      <c r="A306" s="76">
        <v>44123</v>
      </c>
      <c r="B306" s="76">
        <v>44123</v>
      </c>
      <c r="C306">
        <v>896</v>
      </c>
      <c r="D306">
        <f t="shared" si="7"/>
        <v>77414400</v>
      </c>
    </row>
    <row r="307" spans="1:4" x14ac:dyDescent="0.25">
      <c r="A307" s="76">
        <v>44124</v>
      </c>
      <c r="B307" s="76">
        <v>44124</v>
      </c>
      <c r="C307">
        <v>895</v>
      </c>
      <c r="D307">
        <f t="shared" si="7"/>
        <v>77328000</v>
      </c>
    </row>
    <row r="308" spans="1:4" x14ac:dyDescent="0.25">
      <c r="A308" s="76">
        <v>44125</v>
      </c>
      <c r="B308" s="76">
        <v>44125</v>
      </c>
      <c r="C308">
        <v>895</v>
      </c>
      <c r="D308">
        <f t="shared" si="7"/>
        <v>77328000</v>
      </c>
    </row>
    <row r="309" spans="1:4" x14ac:dyDescent="0.25">
      <c r="A309" s="76">
        <v>44126</v>
      </c>
      <c r="B309" s="76">
        <v>44126</v>
      </c>
      <c r="C309">
        <v>867</v>
      </c>
      <c r="D309">
        <f t="shared" si="7"/>
        <v>74908800</v>
      </c>
    </row>
    <row r="310" spans="1:4" x14ac:dyDescent="0.25">
      <c r="A310" s="76">
        <v>44127</v>
      </c>
      <c r="B310" s="76">
        <v>44127</v>
      </c>
      <c r="C310">
        <v>867</v>
      </c>
      <c r="D310">
        <f t="shared" si="7"/>
        <v>74908800</v>
      </c>
    </row>
    <row r="311" spans="1:4" x14ac:dyDescent="0.25">
      <c r="A311" s="76">
        <v>44128</v>
      </c>
      <c r="B311" s="76">
        <v>44128</v>
      </c>
      <c r="C311">
        <v>868</v>
      </c>
      <c r="D311">
        <f t="shared" si="7"/>
        <v>74995200</v>
      </c>
    </row>
    <row r="312" spans="1:4" x14ac:dyDescent="0.25">
      <c r="A312" s="76">
        <v>44129</v>
      </c>
      <c r="B312" s="76">
        <v>44129</v>
      </c>
      <c r="C312">
        <v>868</v>
      </c>
      <c r="D312">
        <f t="shared" si="7"/>
        <v>74995200</v>
      </c>
    </row>
    <row r="313" spans="1:4" x14ac:dyDescent="0.25">
      <c r="A313" s="76">
        <v>44130</v>
      </c>
      <c r="B313" s="76">
        <v>44130</v>
      </c>
      <c r="C313">
        <v>867</v>
      </c>
      <c r="D313">
        <f t="shared" si="7"/>
        <v>74908800</v>
      </c>
    </row>
    <row r="314" spans="1:4" x14ac:dyDescent="0.25">
      <c r="A314" s="76">
        <v>44131</v>
      </c>
      <c r="B314" s="76">
        <v>44131</v>
      </c>
      <c r="C314">
        <v>896</v>
      </c>
      <c r="D314">
        <f t="shared" si="7"/>
        <v>77414400</v>
      </c>
    </row>
    <row r="315" spans="1:4" x14ac:dyDescent="0.25">
      <c r="A315" s="76">
        <v>44132</v>
      </c>
      <c r="B315" s="76">
        <v>44132</v>
      </c>
      <c r="C315">
        <v>896</v>
      </c>
      <c r="D315">
        <f t="shared" si="7"/>
        <v>77414400</v>
      </c>
    </row>
    <row r="316" spans="1:4" x14ac:dyDescent="0.25">
      <c r="A316" s="76">
        <v>44133</v>
      </c>
      <c r="B316" s="76">
        <v>44133</v>
      </c>
      <c r="C316">
        <v>895</v>
      </c>
      <c r="D316">
        <f t="shared" si="7"/>
        <v>77328000</v>
      </c>
    </row>
    <row r="317" spans="1:4" x14ac:dyDescent="0.25">
      <c r="A317" s="76">
        <v>44134</v>
      </c>
      <c r="B317" s="76">
        <v>44134</v>
      </c>
      <c r="C317">
        <v>893</v>
      </c>
      <c r="D317">
        <f t="shared" si="7"/>
        <v>77155200</v>
      </c>
    </row>
    <row r="318" spans="1:4" x14ac:dyDescent="0.25">
      <c r="A318" s="76">
        <v>44135</v>
      </c>
      <c r="B318" s="76">
        <v>44135</v>
      </c>
      <c r="C318">
        <v>892</v>
      </c>
      <c r="D318">
        <f t="shared" si="7"/>
        <v>77068800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7622-91F9-45B8-AE10-78AAAD2C79F5}">
  <sheetPr codeName="Sheet5"/>
  <dimension ref="A1:U625"/>
  <sheetViews>
    <sheetView topLeftCell="I1" zoomScale="120" zoomScaleNormal="120" workbookViewId="0">
      <selection activeCell="T4" sqref="T4"/>
    </sheetView>
  </sheetViews>
  <sheetFormatPr defaultRowHeight="15" x14ac:dyDescent="0.25"/>
  <cols>
    <col min="1" max="1" width="12.42578125" style="91" customWidth="1"/>
    <col min="2" max="2" width="14.28515625" customWidth="1"/>
    <col min="3" max="3" width="14.28515625" style="31" customWidth="1"/>
    <col min="4" max="4" width="11.5703125" bestFit="1" customWidth="1"/>
    <col min="5" max="5" width="11.5703125" customWidth="1"/>
    <col min="8" max="8" width="14.7109375" customWidth="1"/>
    <col min="12" max="12" width="13.7109375" customWidth="1"/>
    <col min="13" max="13" width="10.5703125" bestFit="1" customWidth="1"/>
    <col min="14" max="14" width="11.5703125" bestFit="1" customWidth="1"/>
    <col min="15" max="15" width="10.5703125" bestFit="1" customWidth="1"/>
    <col min="16" max="16" width="11.28515625" customWidth="1"/>
    <col min="17" max="17" width="12.28515625" customWidth="1"/>
    <col min="18" max="18" width="10.5703125" bestFit="1" customWidth="1"/>
  </cols>
  <sheetData>
    <row r="1" spans="1:21" s="89" customFormat="1" x14ac:dyDescent="0.25">
      <c r="A1" s="88" t="s">
        <v>69</v>
      </c>
      <c r="C1" s="90"/>
    </row>
    <row r="2" spans="1:21" x14ac:dyDescent="0.25">
      <c r="A2" s="91" t="s">
        <v>70</v>
      </c>
    </row>
    <row r="4" spans="1:21" ht="30" x14ac:dyDescent="0.25">
      <c r="A4" s="92" t="s">
        <v>71</v>
      </c>
      <c r="B4" s="93" t="s">
        <v>72</v>
      </c>
      <c r="C4" s="94" t="s">
        <v>73</v>
      </c>
      <c r="D4" s="93" t="s">
        <v>74</v>
      </c>
      <c r="E4" s="95" t="s">
        <v>75</v>
      </c>
      <c r="F4" s="96" t="s">
        <v>76</v>
      </c>
      <c r="H4" s="93" t="s">
        <v>77</v>
      </c>
      <c r="I4" s="93" t="s">
        <v>78</v>
      </c>
      <c r="J4" t="s">
        <v>77</v>
      </c>
      <c r="L4" s="93" t="s">
        <v>79</v>
      </c>
    </row>
    <row r="5" spans="1:21" x14ac:dyDescent="0.25">
      <c r="A5" s="91">
        <v>5740</v>
      </c>
      <c r="B5" s="31">
        <v>0</v>
      </c>
      <c r="C5" s="31">
        <v>0</v>
      </c>
      <c r="D5">
        <v>720</v>
      </c>
      <c r="E5" s="97">
        <f>[4]EvapRates!$D$16*'FlamingGorge-Elevation-Area'!D5</f>
        <v>1511.9999999999998</v>
      </c>
      <c r="F5" s="3">
        <v>1</v>
      </c>
      <c r="H5" s="98">
        <f>C5</f>
        <v>0</v>
      </c>
      <c r="I5" s="99">
        <f t="shared" ref="I5:I68" si="0">A5</f>
        <v>5740</v>
      </c>
      <c r="J5">
        <v>0</v>
      </c>
      <c r="L5" t="s">
        <v>80</v>
      </c>
    </row>
    <row r="6" spans="1:21" x14ac:dyDescent="0.25">
      <c r="A6" s="91">
        <v>5740.5</v>
      </c>
      <c r="B6" s="31"/>
      <c r="C6" s="31">
        <v>360.88</v>
      </c>
      <c r="D6">
        <v>723.5</v>
      </c>
      <c r="E6" s="97">
        <f>[4]EvapRates!$D$16*'FlamingGorge-Elevation-Area'!D6</f>
        <v>1519.3499999999997</v>
      </c>
      <c r="F6" s="3">
        <v>2</v>
      </c>
      <c r="H6" s="98">
        <f t="shared" ref="H6:H69" si="1">C6</f>
        <v>360.88</v>
      </c>
      <c r="I6" s="99">
        <f t="shared" si="0"/>
        <v>5740.5</v>
      </c>
      <c r="J6">
        <v>360.88</v>
      </c>
    </row>
    <row r="7" spans="1:21" x14ac:dyDescent="0.25">
      <c r="A7" s="91">
        <v>5741</v>
      </c>
      <c r="B7" s="31"/>
      <c r="C7" s="31">
        <v>723.5</v>
      </c>
      <c r="D7">
        <v>727</v>
      </c>
      <c r="E7" s="97">
        <f>[4]EvapRates!$D$16*'FlamingGorge-Elevation-Area'!D7</f>
        <v>1526.6999999999998</v>
      </c>
      <c r="F7" s="3">
        <v>3</v>
      </c>
      <c r="H7" s="98">
        <f>C7</f>
        <v>723.5</v>
      </c>
      <c r="I7" s="99">
        <f t="shared" si="0"/>
        <v>5741</v>
      </c>
      <c r="J7">
        <v>723.5</v>
      </c>
      <c r="L7" t="s">
        <v>81</v>
      </c>
      <c r="M7" t="s">
        <v>74</v>
      </c>
    </row>
    <row r="8" spans="1:21" x14ac:dyDescent="0.25">
      <c r="A8" s="91">
        <v>5741.5</v>
      </c>
      <c r="B8" s="31"/>
      <c r="C8" s="31">
        <v>1087.8800000000001</v>
      </c>
      <c r="D8">
        <v>730.5</v>
      </c>
      <c r="E8" s="97">
        <f>[4]EvapRates!$D$16*'FlamingGorge-Elevation-Area'!D8</f>
        <v>1534.0499999999997</v>
      </c>
      <c r="F8" s="3">
        <v>4</v>
      </c>
      <c r="H8" s="98">
        <f t="shared" si="1"/>
        <v>1087.8800000000001</v>
      </c>
      <c r="I8" s="99">
        <f t="shared" si="0"/>
        <v>5741.5</v>
      </c>
      <c r="J8">
        <v>1087.8800000000001</v>
      </c>
      <c r="L8" s="31">
        <v>2000000</v>
      </c>
      <c r="M8" s="31">
        <f>VLOOKUP(L8,$C$5:$E$625,3)</f>
        <v>56359.799999999988</v>
      </c>
      <c r="U8">
        <f>8.23/12</f>
        <v>0.68583333333333341</v>
      </c>
    </row>
    <row r="9" spans="1:21" x14ac:dyDescent="0.25">
      <c r="A9" s="91">
        <v>5742</v>
      </c>
      <c r="B9" s="31"/>
      <c r="C9" s="31">
        <v>1454</v>
      </c>
      <c r="D9">
        <v>734</v>
      </c>
      <c r="E9" s="97">
        <f>[4]EvapRates!$D$16*'FlamingGorge-Elevation-Area'!D9</f>
        <v>1541.3999999999996</v>
      </c>
      <c r="F9" s="3">
        <v>5</v>
      </c>
      <c r="H9" s="98">
        <f t="shared" si="1"/>
        <v>1454</v>
      </c>
      <c r="I9" s="99">
        <f t="shared" si="0"/>
        <v>5742</v>
      </c>
      <c r="J9">
        <v>1454</v>
      </c>
      <c r="L9">
        <v>361</v>
      </c>
      <c r="M9">
        <f>VLOOKUP(361,H5:I625,2)</f>
        <v>5740.5</v>
      </c>
    </row>
    <row r="10" spans="1:21" x14ac:dyDescent="0.25">
      <c r="A10" s="91">
        <v>5742.5</v>
      </c>
      <c r="B10" s="31"/>
      <c r="C10" s="31">
        <v>1821.88</v>
      </c>
      <c r="D10">
        <v>737.5</v>
      </c>
      <c r="E10" s="97">
        <f>[4]EvapRates!$D$16*'FlamingGorge-Elevation-Area'!D10</f>
        <v>1548.7499999999998</v>
      </c>
      <c r="F10" s="3">
        <v>6</v>
      </c>
      <c r="H10" s="98">
        <f t="shared" si="1"/>
        <v>1821.88</v>
      </c>
      <c r="I10" s="99">
        <f t="shared" si="0"/>
        <v>5742.5</v>
      </c>
      <c r="J10">
        <v>1821.88</v>
      </c>
      <c r="L10" t="s">
        <v>82</v>
      </c>
    </row>
    <row r="11" spans="1:21" x14ac:dyDescent="0.25">
      <c r="A11" s="91">
        <v>5743</v>
      </c>
      <c r="B11" s="31"/>
      <c r="C11" s="31">
        <v>2191.5</v>
      </c>
      <c r="D11">
        <v>741</v>
      </c>
      <c r="E11" s="97">
        <f>[4]EvapRates!$D$16*'FlamingGorge-Elevation-Area'!D11</f>
        <v>1556.0999999999997</v>
      </c>
      <c r="F11" s="3">
        <v>7</v>
      </c>
      <c r="H11" s="98">
        <f t="shared" si="1"/>
        <v>2191.5</v>
      </c>
      <c r="I11" s="99">
        <f t="shared" si="0"/>
        <v>5743</v>
      </c>
      <c r="J11">
        <v>2191.5</v>
      </c>
    </row>
    <row r="12" spans="1:21" x14ac:dyDescent="0.25">
      <c r="A12" s="91">
        <v>5743.5</v>
      </c>
      <c r="B12" s="31"/>
      <c r="C12" s="31">
        <v>2562.88</v>
      </c>
      <c r="D12">
        <v>744.5</v>
      </c>
      <c r="E12" s="97">
        <f>[4]EvapRates!$D$16*'FlamingGorge-Elevation-Area'!D12</f>
        <v>1563.4499999999998</v>
      </c>
      <c r="F12" s="3">
        <v>8</v>
      </c>
      <c r="H12" s="98">
        <f t="shared" si="1"/>
        <v>2562.88</v>
      </c>
      <c r="I12" s="99">
        <f t="shared" si="0"/>
        <v>5743.5</v>
      </c>
      <c r="J12">
        <v>2562.88</v>
      </c>
      <c r="L12" t="s">
        <v>81</v>
      </c>
      <c r="M12" s="75" t="s">
        <v>76</v>
      </c>
      <c r="N12" t="s">
        <v>83</v>
      </c>
      <c r="O12" t="s">
        <v>84</v>
      </c>
      <c r="P12" t="s">
        <v>85</v>
      </c>
      <c r="Q12" t="s">
        <v>86</v>
      </c>
      <c r="R12" t="s">
        <v>87</v>
      </c>
    </row>
    <row r="13" spans="1:21" x14ac:dyDescent="0.25">
      <c r="A13" s="91">
        <v>5744</v>
      </c>
      <c r="B13" s="31"/>
      <c r="C13" s="31">
        <v>2936</v>
      </c>
      <c r="D13">
        <v>748</v>
      </c>
      <c r="E13" s="97">
        <f>[4]EvapRates!$D$16*'FlamingGorge-Elevation-Area'!D13</f>
        <v>1570.7999999999997</v>
      </c>
      <c r="F13" s="3">
        <v>9</v>
      </c>
      <c r="H13" s="98">
        <f t="shared" si="1"/>
        <v>2936</v>
      </c>
      <c r="I13" s="99">
        <f t="shared" si="0"/>
        <v>5744</v>
      </c>
      <c r="J13">
        <v>2936</v>
      </c>
      <c r="L13" s="98">
        <f>L8</f>
        <v>2000000</v>
      </c>
      <c r="M13" s="100">
        <f>VLOOKUP(L13,$C$5:$F$625,3)</f>
        <v>56359.799999999988</v>
      </c>
      <c r="N13" s="31">
        <f ca="1">OFFSET($C$5,$M13-1,0)</f>
        <v>0</v>
      </c>
      <c r="O13" s="31">
        <f ca="1">OFFSET($C$5,$M13,0)</f>
        <v>0</v>
      </c>
      <c r="P13" s="31">
        <f ca="1">OFFSET($C$5,$M13-1,1)</f>
        <v>0</v>
      </c>
      <c r="Q13" s="31">
        <f ca="1">OFFSET($C$5,$M13,1)</f>
        <v>0</v>
      </c>
      <c r="R13" s="98" t="e">
        <f ca="1">P13+(Q13-P13)/(O13-N13)*(L13-N13)</f>
        <v>#DIV/0!</v>
      </c>
    </row>
    <row r="14" spans="1:21" x14ac:dyDescent="0.25">
      <c r="A14" s="91">
        <v>5744.5</v>
      </c>
      <c r="B14" s="31"/>
      <c r="C14" s="31">
        <v>3310.88</v>
      </c>
      <c r="D14">
        <v>751.5</v>
      </c>
      <c r="E14" s="97">
        <f>[4]EvapRates!$D$16*'FlamingGorge-Elevation-Area'!D14</f>
        <v>1578.1499999999996</v>
      </c>
      <c r="F14" s="3">
        <v>10</v>
      </c>
      <c r="H14" s="98">
        <f t="shared" si="1"/>
        <v>3310.88</v>
      </c>
      <c r="I14" s="99">
        <f t="shared" si="0"/>
        <v>5744.5</v>
      </c>
      <c r="J14">
        <v>3310.88</v>
      </c>
    </row>
    <row r="15" spans="1:21" x14ac:dyDescent="0.25">
      <c r="A15" s="91">
        <v>5745</v>
      </c>
      <c r="B15" s="31"/>
      <c r="C15" s="31">
        <v>3687.5</v>
      </c>
      <c r="D15">
        <v>755</v>
      </c>
      <c r="E15" s="97">
        <f>[4]EvapRates!$D$16*'FlamingGorge-Elevation-Area'!D15</f>
        <v>1585.4999999999998</v>
      </c>
      <c r="F15" s="3">
        <v>11</v>
      </c>
      <c r="H15" s="98">
        <f t="shared" si="1"/>
        <v>3687.5</v>
      </c>
      <c r="I15" s="99">
        <f t="shared" si="0"/>
        <v>5745</v>
      </c>
      <c r="J15">
        <v>3687.5</v>
      </c>
    </row>
    <row r="16" spans="1:21" x14ac:dyDescent="0.25">
      <c r="A16" s="91">
        <v>5745.5</v>
      </c>
      <c r="B16" s="31"/>
      <c r="C16" s="31">
        <v>4065.88</v>
      </c>
      <c r="D16">
        <v>758.5</v>
      </c>
      <c r="E16" s="97">
        <f>[4]EvapRates!$D$16*'FlamingGorge-Elevation-Area'!D16</f>
        <v>1592.8499999999997</v>
      </c>
      <c r="F16" s="3">
        <v>12</v>
      </c>
      <c r="H16" s="98">
        <f t="shared" si="1"/>
        <v>4065.88</v>
      </c>
      <c r="I16" s="99">
        <f t="shared" si="0"/>
        <v>5745.5</v>
      </c>
      <c r="J16">
        <v>4065.88</v>
      </c>
    </row>
    <row r="17" spans="1:10" x14ac:dyDescent="0.25">
      <c r="A17" s="91">
        <v>5746</v>
      </c>
      <c r="B17" s="31"/>
      <c r="C17" s="31">
        <v>4446</v>
      </c>
      <c r="D17">
        <v>762</v>
      </c>
      <c r="E17" s="97">
        <f>[4]EvapRates!$D$16*'FlamingGorge-Elevation-Area'!D17</f>
        <v>1600.1999999999998</v>
      </c>
      <c r="F17" s="3">
        <v>13</v>
      </c>
      <c r="H17" s="98">
        <f t="shared" si="1"/>
        <v>4446</v>
      </c>
      <c r="I17" s="99">
        <f t="shared" si="0"/>
        <v>5746</v>
      </c>
      <c r="J17">
        <v>4446</v>
      </c>
    </row>
    <row r="18" spans="1:10" x14ac:dyDescent="0.25">
      <c r="A18" s="91">
        <v>5746.5</v>
      </c>
      <c r="B18" s="31"/>
      <c r="C18" s="31">
        <v>4827.88</v>
      </c>
      <c r="D18">
        <v>765.5</v>
      </c>
      <c r="E18" s="97">
        <f>[4]EvapRates!$D$16*'FlamingGorge-Elevation-Area'!D18</f>
        <v>1607.5499999999997</v>
      </c>
      <c r="F18" s="3">
        <v>14</v>
      </c>
      <c r="H18" s="98">
        <f t="shared" si="1"/>
        <v>4827.88</v>
      </c>
      <c r="I18" s="99">
        <f t="shared" si="0"/>
        <v>5746.5</v>
      </c>
      <c r="J18">
        <v>4827.88</v>
      </c>
    </row>
    <row r="19" spans="1:10" x14ac:dyDescent="0.25">
      <c r="A19" s="91">
        <v>5747</v>
      </c>
      <c r="B19" s="31"/>
      <c r="C19" s="31">
        <v>5211.5</v>
      </c>
      <c r="D19">
        <v>769</v>
      </c>
      <c r="E19" s="97">
        <f>[4]EvapRates!$D$16*'FlamingGorge-Elevation-Area'!D19</f>
        <v>1614.8999999999996</v>
      </c>
      <c r="F19" s="3">
        <v>15</v>
      </c>
      <c r="H19" s="98">
        <f t="shared" si="1"/>
        <v>5211.5</v>
      </c>
      <c r="I19" s="99">
        <f t="shared" si="0"/>
        <v>5747</v>
      </c>
      <c r="J19">
        <v>5211.5</v>
      </c>
    </row>
    <row r="20" spans="1:10" x14ac:dyDescent="0.25">
      <c r="A20" s="91">
        <v>5747.5</v>
      </c>
      <c r="B20" s="31"/>
      <c r="C20" s="31">
        <v>5596.88</v>
      </c>
      <c r="D20">
        <v>772.5</v>
      </c>
      <c r="E20" s="97">
        <f>[4]EvapRates!$D$16*'FlamingGorge-Elevation-Area'!D20</f>
        <v>1622.2499999999998</v>
      </c>
      <c r="F20" s="3">
        <v>16</v>
      </c>
      <c r="H20" s="98">
        <f t="shared" si="1"/>
        <v>5596.88</v>
      </c>
      <c r="I20" s="99">
        <f t="shared" si="0"/>
        <v>5747.5</v>
      </c>
      <c r="J20">
        <v>5596.88</v>
      </c>
    </row>
    <row r="21" spans="1:10" x14ac:dyDescent="0.25">
      <c r="A21" s="91">
        <v>5748</v>
      </c>
      <c r="B21" s="31"/>
      <c r="C21" s="31">
        <v>5984</v>
      </c>
      <c r="D21">
        <v>776</v>
      </c>
      <c r="E21" s="97">
        <f>[4]EvapRates!$D$16*'FlamingGorge-Elevation-Area'!D21</f>
        <v>1629.5999999999997</v>
      </c>
      <c r="F21" s="3">
        <v>17</v>
      </c>
      <c r="H21" s="98">
        <f t="shared" si="1"/>
        <v>5984</v>
      </c>
      <c r="I21" s="99">
        <f t="shared" si="0"/>
        <v>5748</v>
      </c>
      <c r="J21">
        <v>5984</v>
      </c>
    </row>
    <row r="22" spans="1:10" x14ac:dyDescent="0.25">
      <c r="A22" s="91">
        <v>5748.5</v>
      </c>
      <c r="B22" s="31"/>
      <c r="C22" s="31">
        <v>6372.88</v>
      </c>
      <c r="D22">
        <v>779.5</v>
      </c>
      <c r="E22" s="97">
        <f>[4]EvapRates!$D$16*'FlamingGorge-Elevation-Area'!D22</f>
        <v>1636.9499999999998</v>
      </c>
      <c r="F22" s="3">
        <v>18</v>
      </c>
      <c r="H22" s="98">
        <f t="shared" si="1"/>
        <v>6372.88</v>
      </c>
      <c r="I22" s="99">
        <f t="shared" si="0"/>
        <v>5748.5</v>
      </c>
      <c r="J22">
        <v>6372.88</v>
      </c>
    </row>
    <row r="23" spans="1:10" x14ac:dyDescent="0.25">
      <c r="A23" s="91">
        <v>5749</v>
      </c>
      <c r="B23" s="31"/>
      <c r="C23" s="31">
        <v>6763.5</v>
      </c>
      <c r="D23">
        <v>783</v>
      </c>
      <c r="E23" s="97">
        <f>[4]EvapRates!$D$16*'FlamingGorge-Elevation-Area'!D23</f>
        <v>1644.2999999999997</v>
      </c>
      <c r="F23" s="3">
        <v>19</v>
      </c>
      <c r="H23" s="98">
        <f t="shared" si="1"/>
        <v>6763.5</v>
      </c>
      <c r="I23" s="99">
        <f t="shared" si="0"/>
        <v>5749</v>
      </c>
      <c r="J23">
        <v>6763.5</v>
      </c>
    </row>
    <row r="24" spans="1:10" x14ac:dyDescent="0.25">
      <c r="A24" s="91">
        <v>5749.5</v>
      </c>
      <c r="B24" s="31"/>
      <c r="C24" s="31">
        <v>7155.88</v>
      </c>
      <c r="D24">
        <v>786.5</v>
      </c>
      <c r="E24" s="97">
        <f>[4]EvapRates!$D$16*'FlamingGorge-Elevation-Area'!D24</f>
        <v>1651.6499999999996</v>
      </c>
      <c r="F24" s="3">
        <v>20</v>
      </c>
      <c r="H24" s="98">
        <f t="shared" si="1"/>
        <v>7155.88</v>
      </c>
      <c r="I24" s="99">
        <f t="shared" si="0"/>
        <v>5749.5</v>
      </c>
      <c r="J24">
        <v>7155.88</v>
      </c>
    </row>
    <row r="25" spans="1:10" x14ac:dyDescent="0.25">
      <c r="A25" s="91">
        <v>5750</v>
      </c>
      <c r="B25" s="31"/>
      <c r="C25" s="31">
        <v>7550</v>
      </c>
      <c r="D25">
        <v>790</v>
      </c>
      <c r="E25" s="97">
        <f>[4]EvapRates!$D$16*'FlamingGorge-Elevation-Area'!D25</f>
        <v>1658.9999999999998</v>
      </c>
      <c r="F25" s="3">
        <v>21</v>
      </c>
      <c r="H25" s="98">
        <f t="shared" si="1"/>
        <v>7550</v>
      </c>
      <c r="I25" s="99">
        <f t="shared" si="0"/>
        <v>5750</v>
      </c>
      <c r="J25">
        <v>7550</v>
      </c>
    </row>
    <row r="26" spans="1:10" x14ac:dyDescent="0.25">
      <c r="A26" s="91">
        <v>5750.5</v>
      </c>
      <c r="B26" s="31"/>
      <c r="C26" s="31">
        <v>7946</v>
      </c>
      <c r="D26">
        <v>794</v>
      </c>
      <c r="E26" s="97">
        <f>[4]EvapRates!$D$16*'FlamingGorge-Elevation-Area'!D26</f>
        <v>1667.3999999999996</v>
      </c>
      <c r="F26" s="3">
        <v>22</v>
      </c>
      <c r="H26" s="98">
        <f t="shared" si="1"/>
        <v>7946</v>
      </c>
      <c r="I26" s="99">
        <f t="shared" si="0"/>
        <v>5750.5</v>
      </c>
      <c r="J26">
        <v>7946</v>
      </c>
    </row>
    <row r="27" spans="1:10" x14ac:dyDescent="0.25">
      <c r="A27" s="91">
        <v>5751</v>
      </c>
      <c r="B27" s="31"/>
      <c r="C27" s="31">
        <v>8344</v>
      </c>
      <c r="D27">
        <v>798</v>
      </c>
      <c r="E27" s="97">
        <f>[4]EvapRates!$D$16*'FlamingGorge-Elevation-Area'!D27</f>
        <v>1675.7999999999997</v>
      </c>
      <c r="F27" s="3">
        <v>23</v>
      </c>
      <c r="H27" s="98">
        <f t="shared" si="1"/>
        <v>8344</v>
      </c>
      <c r="I27" s="99">
        <f t="shared" si="0"/>
        <v>5751</v>
      </c>
      <c r="J27">
        <v>8344</v>
      </c>
    </row>
    <row r="28" spans="1:10" x14ac:dyDescent="0.25">
      <c r="A28" s="91">
        <v>5751.5</v>
      </c>
      <c r="B28" s="31"/>
      <c r="C28" s="31">
        <v>8744</v>
      </c>
      <c r="D28">
        <v>802</v>
      </c>
      <c r="E28" s="97">
        <f>[4]EvapRates!$D$16*'FlamingGorge-Elevation-Area'!D28</f>
        <v>1684.1999999999998</v>
      </c>
      <c r="F28" s="3">
        <v>24</v>
      </c>
      <c r="H28" s="98">
        <f t="shared" si="1"/>
        <v>8744</v>
      </c>
      <c r="I28" s="99">
        <f t="shared" si="0"/>
        <v>5751.5</v>
      </c>
      <c r="J28">
        <v>8744</v>
      </c>
    </row>
    <row r="29" spans="1:10" x14ac:dyDescent="0.25">
      <c r="A29" s="91">
        <v>5752</v>
      </c>
      <c r="B29" s="31"/>
      <c r="C29" s="31">
        <v>9146</v>
      </c>
      <c r="D29">
        <v>806</v>
      </c>
      <c r="E29" s="97">
        <f>[4]EvapRates!$D$16*'FlamingGorge-Elevation-Area'!D29</f>
        <v>1692.5999999999997</v>
      </c>
      <c r="F29" s="3">
        <v>25</v>
      </c>
      <c r="H29" s="98">
        <f t="shared" si="1"/>
        <v>9146</v>
      </c>
      <c r="I29" s="99">
        <f t="shared" si="0"/>
        <v>5752</v>
      </c>
      <c r="J29">
        <v>9146</v>
      </c>
    </row>
    <row r="30" spans="1:10" x14ac:dyDescent="0.25">
      <c r="A30" s="91">
        <v>5752.5</v>
      </c>
      <c r="B30" s="31"/>
      <c r="C30" s="31">
        <v>9550</v>
      </c>
      <c r="D30">
        <v>810</v>
      </c>
      <c r="E30" s="97">
        <f>[4]EvapRates!$D$16*'FlamingGorge-Elevation-Area'!D30</f>
        <v>1700.9999999999998</v>
      </c>
      <c r="F30" s="3">
        <v>26</v>
      </c>
      <c r="H30" s="98">
        <f t="shared" si="1"/>
        <v>9550</v>
      </c>
      <c r="I30" s="99">
        <f t="shared" si="0"/>
        <v>5752.5</v>
      </c>
      <c r="J30">
        <v>9550</v>
      </c>
    </row>
    <row r="31" spans="1:10" x14ac:dyDescent="0.25">
      <c r="A31" s="91">
        <v>5753</v>
      </c>
      <c r="B31" s="31"/>
      <c r="C31" s="31">
        <v>9956</v>
      </c>
      <c r="D31">
        <v>814</v>
      </c>
      <c r="E31" s="97">
        <f>[4]EvapRates!$D$16*'FlamingGorge-Elevation-Area'!D31</f>
        <v>1709.3999999999996</v>
      </c>
      <c r="F31" s="3">
        <v>27</v>
      </c>
      <c r="H31" s="98">
        <f t="shared" si="1"/>
        <v>9956</v>
      </c>
      <c r="I31" s="99">
        <f t="shared" si="0"/>
        <v>5753</v>
      </c>
      <c r="J31">
        <v>9956</v>
      </c>
    </row>
    <row r="32" spans="1:10" x14ac:dyDescent="0.25">
      <c r="A32" s="91">
        <v>5753.5</v>
      </c>
      <c r="B32" s="31"/>
      <c r="C32" s="31">
        <v>10364</v>
      </c>
      <c r="D32">
        <v>818</v>
      </c>
      <c r="E32" s="97">
        <f>[4]EvapRates!$D$16*'FlamingGorge-Elevation-Area'!D32</f>
        <v>1717.7999999999997</v>
      </c>
      <c r="F32" s="3">
        <v>28</v>
      </c>
      <c r="H32" s="98">
        <f t="shared" si="1"/>
        <v>10364</v>
      </c>
      <c r="I32" s="99">
        <f t="shared" si="0"/>
        <v>5753.5</v>
      </c>
      <c r="J32">
        <v>10364</v>
      </c>
    </row>
    <row r="33" spans="1:10" x14ac:dyDescent="0.25">
      <c r="A33" s="91">
        <v>5754</v>
      </c>
      <c r="B33" s="31"/>
      <c r="C33" s="31">
        <v>10774</v>
      </c>
      <c r="D33">
        <v>822</v>
      </c>
      <c r="E33" s="97">
        <f>[4]EvapRates!$D$16*'FlamingGorge-Elevation-Area'!D33</f>
        <v>1726.1999999999998</v>
      </c>
      <c r="F33" s="3">
        <v>29</v>
      </c>
      <c r="H33" s="98">
        <f t="shared" si="1"/>
        <v>10774</v>
      </c>
      <c r="I33" s="99">
        <f t="shared" si="0"/>
        <v>5754</v>
      </c>
      <c r="J33">
        <v>10774</v>
      </c>
    </row>
    <row r="34" spans="1:10" x14ac:dyDescent="0.25">
      <c r="A34" s="91">
        <v>5754.5</v>
      </c>
      <c r="B34" s="31"/>
      <c r="C34" s="31">
        <v>11186</v>
      </c>
      <c r="D34">
        <v>826</v>
      </c>
      <c r="E34" s="97">
        <f>[4]EvapRates!$D$16*'FlamingGorge-Elevation-Area'!D34</f>
        <v>1734.5999999999997</v>
      </c>
      <c r="F34" s="3">
        <v>30</v>
      </c>
      <c r="H34" s="98">
        <f t="shared" si="1"/>
        <v>11186</v>
      </c>
      <c r="I34" s="99">
        <f t="shared" si="0"/>
        <v>5754.5</v>
      </c>
      <c r="J34">
        <v>11186</v>
      </c>
    </row>
    <row r="35" spans="1:10" x14ac:dyDescent="0.25">
      <c r="A35" s="91">
        <v>5755</v>
      </c>
      <c r="B35" s="31"/>
      <c r="C35" s="31">
        <v>11600</v>
      </c>
      <c r="D35">
        <v>830</v>
      </c>
      <c r="E35" s="97">
        <f>[4]EvapRates!$D$16*'FlamingGorge-Elevation-Area'!D35</f>
        <v>1742.9999999999998</v>
      </c>
      <c r="F35" s="3">
        <v>31</v>
      </c>
      <c r="H35" s="98">
        <f t="shared" si="1"/>
        <v>11600</v>
      </c>
      <c r="I35" s="99">
        <f t="shared" si="0"/>
        <v>5755</v>
      </c>
      <c r="J35">
        <v>11600</v>
      </c>
    </row>
    <row r="36" spans="1:10" x14ac:dyDescent="0.25">
      <c r="A36" s="91">
        <v>5755.5</v>
      </c>
      <c r="B36" s="31"/>
      <c r="C36" s="31">
        <v>12016</v>
      </c>
      <c r="D36">
        <v>834</v>
      </c>
      <c r="E36" s="97">
        <f>[4]EvapRates!$D$16*'FlamingGorge-Elevation-Area'!D36</f>
        <v>1751.3999999999996</v>
      </c>
      <c r="F36" s="3">
        <v>32</v>
      </c>
      <c r="H36" s="98">
        <f t="shared" si="1"/>
        <v>12016</v>
      </c>
      <c r="I36" s="99">
        <f t="shared" si="0"/>
        <v>5755.5</v>
      </c>
      <c r="J36">
        <v>12016</v>
      </c>
    </row>
    <row r="37" spans="1:10" x14ac:dyDescent="0.25">
      <c r="A37" s="91">
        <v>5756</v>
      </c>
      <c r="B37" s="31"/>
      <c r="C37" s="31">
        <v>12434</v>
      </c>
      <c r="D37">
        <v>838</v>
      </c>
      <c r="E37" s="97">
        <f>[4]EvapRates!$D$16*'FlamingGorge-Elevation-Area'!D37</f>
        <v>1759.7999999999997</v>
      </c>
      <c r="F37" s="3">
        <v>33</v>
      </c>
      <c r="H37" s="98">
        <f t="shared" si="1"/>
        <v>12434</v>
      </c>
      <c r="I37" s="99">
        <f t="shared" si="0"/>
        <v>5756</v>
      </c>
      <c r="J37">
        <v>12434</v>
      </c>
    </row>
    <row r="38" spans="1:10" x14ac:dyDescent="0.25">
      <c r="A38" s="91">
        <v>5756.5</v>
      </c>
      <c r="B38" s="31"/>
      <c r="C38" s="31">
        <v>12854</v>
      </c>
      <c r="D38">
        <v>842</v>
      </c>
      <c r="E38" s="97">
        <f>[4]EvapRates!$D$16*'FlamingGorge-Elevation-Area'!D38</f>
        <v>1768.1999999999996</v>
      </c>
      <c r="F38" s="3">
        <v>34</v>
      </c>
      <c r="H38" s="98">
        <f t="shared" si="1"/>
        <v>12854</v>
      </c>
      <c r="I38" s="99">
        <f t="shared" si="0"/>
        <v>5756.5</v>
      </c>
      <c r="J38">
        <v>12854</v>
      </c>
    </row>
    <row r="39" spans="1:10" x14ac:dyDescent="0.25">
      <c r="A39" s="91">
        <v>5757</v>
      </c>
      <c r="B39" s="31"/>
      <c r="C39" s="31">
        <v>13276</v>
      </c>
      <c r="D39">
        <v>846</v>
      </c>
      <c r="E39" s="97">
        <f>[4]EvapRates!$D$16*'FlamingGorge-Elevation-Area'!D39</f>
        <v>1776.5999999999997</v>
      </c>
      <c r="F39" s="3">
        <v>35</v>
      </c>
      <c r="H39" s="98">
        <f t="shared" si="1"/>
        <v>13276</v>
      </c>
      <c r="I39" s="99">
        <f t="shared" si="0"/>
        <v>5757</v>
      </c>
      <c r="J39">
        <v>13276</v>
      </c>
    </row>
    <row r="40" spans="1:10" x14ac:dyDescent="0.25">
      <c r="A40" s="91">
        <v>5757.5</v>
      </c>
      <c r="B40" s="31"/>
      <c r="C40" s="31">
        <v>13700</v>
      </c>
      <c r="D40">
        <v>850</v>
      </c>
      <c r="E40" s="97">
        <f>[4]EvapRates!$D$16*'FlamingGorge-Elevation-Area'!D40</f>
        <v>1784.9999999999998</v>
      </c>
      <c r="F40" s="3">
        <v>36</v>
      </c>
      <c r="H40" s="98">
        <f t="shared" si="1"/>
        <v>13700</v>
      </c>
      <c r="I40" s="99">
        <f t="shared" si="0"/>
        <v>5757.5</v>
      </c>
      <c r="J40">
        <v>13700</v>
      </c>
    </row>
    <row r="41" spans="1:10" x14ac:dyDescent="0.25">
      <c r="A41" s="91">
        <v>5758</v>
      </c>
      <c r="B41" s="31"/>
      <c r="C41" s="31">
        <v>14126</v>
      </c>
      <c r="D41">
        <v>854</v>
      </c>
      <c r="E41" s="97">
        <f>[4]EvapRates!$D$16*'FlamingGorge-Elevation-Area'!D41</f>
        <v>1793.3999999999996</v>
      </c>
      <c r="F41" s="3">
        <v>37</v>
      </c>
      <c r="H41" s="98">
        <f t="shared" si="1"/>
        <v>14126</v>
      </c>
      <c r="I41" s="99">
        <f t="shared" si="0"/>
        <v>5758</v>
      </c>
      <c r="J41">
        <v>14126</v>
      </c>
    </row>
    <row r="42" spans="1:10" x14ac:dyDescent="0.25">
      <c r="A42" s="91">
        <v>5758.5</v>
      </c>
      <c r="B42" s="31"/>
      <c r="C42" s="31">
        <v>14554</v>
      </c>
      <c r="D42">
        <v>858</v>
      </c>
      <c r="E42" s="97">
        <f>[4]EvapRates!$D$16*'FlamingGorge-Elevation-Area'!D42</f>
        <v>1801.7999999999997</v>
      </c>
      <c r="F42" s="3">
        <v>38</v>
      </c>
      <c r="H42" s="98">
        <f t="shared" si="1"/>
        <v>14554</v>
      </c>
      <c r="I42" s="99">
        <f t="shared" si="0"/>
        <v>5758.5</v>
      </c>
      <c r="J42">
        <v>14554</v>
      </c>
    </row>
    <row r="43" spans="1:10" x14ac:dyDescent="0.25">
      <c r="A43" s="91">
        <v>5759</v>
      </c>
      <c r="B43" s="31"/>
      <c r="C43" s="31">
        <v>14984</v>
      </c>
      <c r="D43">
        <v>862</v>
      </c>
      <c r="E43" s="97">
        <f>[4]EvapRates!$D$16*'FlamingGorge-Elevation-Area'!D43</f>
        <v>1810.1999999999996</v>
      </c>
      <c r="F43" s="3">
        <v>39</v>
      </c>
      <c r="H43" s="98">
        <f t="shared" si="1"/>
        <v>14984</v>
      </c>
      <c r="I43" s="99">
        <f t="shared" si="0"/>
        <v>5759</v>
      </c>
      <c r="J43">
        <v>14984</v>
      </c>
    </row>
    <row r="44" spans="1:10" x14ac:dyDescent="0.25">
      <c r="A44" s="91">
        <v>5759.5</v>
      </c>
      <c r="B44" s="31"/>
      <c r="C44" s="31">
        <v>15416</v>
      </c>
      <c r="D44">
        <v>866</v>
      </c>
      <c r="E44" s="97">
        <f>[4]EvapRates!$D$16*'FlamingGorge-Elevation-Area'!D44</f>
        <v>1818.5999999999997</v>
      </c>
      <c r="F44" s="3">
        <v>40</v>
      </c>
      <c r="H44" s="98">
        <f t="shared" si="1"/>
        <v>15416</v>
      </c>
      <c r="I44" s="99">
        <f t="shared" si="0"/>
        <v>5759.5</v>
      </c>
      <c r="J44">
        <v>15416</v>
      </c>
    </row>
    <row r="45" spans="1:10" x14ac:dyDescent="0.25">
      <c r="A45" s="91">
        <v>5760</v>
      </c>
      <c r="B45" s="31"/>
      <c r="C45" s="31">
        <v>15850</v>
      </c>
      <c r="D45">
        <v>870</v>
      </c>
      <c r="E45" s="97">
        <f>[4]EvapRates!$D$16*'FlamingGorge-Elevation-Area'!D45</f>
        <v>1826.9999999999998</v>
      </c>
      <c r="F45" s="3">
        <v>41</v>
      </c>
      <c r="H45" s="98">
        <f t="shared" si="1"/>
        <v>15850</v>
      </c>
      <c r="I45" s="99">
        <f t="shared" si="0"/>
        <v>5760</v>
      </c>
      <c r="J45">
        <v>15850</v>
      </c>
    </row>
    <row r="46" spans="1:10" x14ac:dyDescent="0.25">
      <c r="A46" s="91">
        <v>5760.5</v>
      </c>
      <c r="B46" s="31"/>
      <c r="C46" s="31">
        <v>16286</v>
      </c>
      <c r="D46">
        <v>874</v>
      </c>
      <c r="E46" s="97">
        <f>[4]EvapRates!$D$16*'FlamingGorge-Elevation-Area'!D46</f>
        <v>1835.3999999999996</v>
      </c>
      <c r="F46" s="3">
        <v>42</v>
      </c>
      <c r="H46" s="98">
        <f t="shared" si="1"/>
        <v>16286</v>
      </c>
      <c r="I46" s="99">
        <f t="shared" si="0"/>
        <v>5760.5</v>
      </c>
      <c r="J46">
        <v>16286</v>
      </c>
    </row>
    <row r="47" spans="1:10" x14ac:dyDescent="0.25">
      <c r="A47" s="91">
        <v>5761</v>
      </c>
      <c r="B47" s="31"/>
      <c r="C47" s="31">
        <v>16724</v>
      </c>
      <c r="D47">
        <v>878</v>
      </c>
      <c r="E47" s="97">
        <f>[4]EvapRates!$D$16*'FlamingGorge-Elevation-Area'!D47</f>
        <v>1843.7999999999997</v>
      </c>
      <c r="F47" s="3">
        <v>43</v>
      </c>
      <c r="H47" s="98">
        <f t="shared" si="1"/>
        <v>16724</v>
      </c>
      <c r="I47" s="99">
        <f t="shared" si="0"/>
        <v>5761</v>
      </c>
      <c r="J47">
        <v>16724</v>
      </c>
    </row>
    <row r="48" spans="1:10" x14ac:dyDescent="0.25">
      <c r="A48" s="91">
        <v>5761.5</v>
      </c>
      <c r="B48" s="31"/>
      <c r="C48" s="31">
        <v>17164</v>
      </c>
      <c r="D48">
        <v>882</v>
      </c>
      <c r="E48" s="97">
        <f>[4]EvapRates!$D$16*'FlamingGorge-Elevation-Area'!D48</f>
        <v>1852.1999999999996</v>
      </c>
      <c r="F48" s="3">
        <v>44</v>
      </c>
      <c r="H48" s="98">
        <f t="shared" si="1"/>
        <v>17164</v>
      </c>
      <c r="I48" s="99">
        <f t="shared" si="0"/>
        <v>5761.5</v>
      </c>
      <c r="J48">
        <v>17164</v>
      </c>
    </row>
    <row r="49" spans="1:10" x14ac:dyDescent="0.25">
      <c r="A49" s="91">
        <v>5762</v>
      </c>
      <c r="B49" s="31"/>
      <c r="C49" s="31">
        <v>17606</v>
      </c>
      <c r="D49">
        <v>886</v>
      </c>
      <c r="E49" s="97">
        <f>[4]EvapRates!$D$16*'FlamingGorge-Elevation-Area'!D49</f>
        <v>1860.5999999999997</v>
      </c>
      <c r="F49" s="3">
        <v>45</v>
      </c>
      <c r="H49" s="98">
        <f t="shared" si="1"/>
        <v>17606</v>
      </c>
      <c r="I49" s="99">
        <f t="shared" si="0"/>
        <v>5762</v>
      </c>
      <c r="J49">
        <v>17606</v>
      </c>
    </row>
    <row r="50" spans="1:10" x14ac:dyDescent="0.25">
      <c r="A50" s="91">
        <v>5762.5</v>
      </c>
      <c r="B50" s="31"/>
      <c r="C50" s="31">
        <v>18050</v>
      </c>
      <c r="D50">
        <v>890</v>
      </c>
      <c r="E50" s="97">
        <f>[4]EvapRates!$D$16*'FlamingGorge-Elevation-Area'!D50</f>
        <v>1868.9999999999998</v>
      </c>
      <c r="F50" s="3">
        <v>46</v>
      </c>
      <c r="H50" s="98">
        <f t="shared" si="1"/>
        <v>18050</v>
      </c>
      <c r="I50" s="99">
        <f t="shared" si="0"/>
        <v>5762.5</v>
      </c>
      <c r="J50">
        <v>18050</v>
      </c>
    </row>
    <row r="51" spans="1:10" x14ac:dyDescent="0.25">
      <c r="A51" s="91">
        <v>5763</v>
      </c>
      <c r="B51" s="31"/>
      <c r="C51" s="31">
        <v>18496</v>
      </c>
      <c r="D51">
        <v>894</v>
      </c>
      <c r="E51" s="97">
        <f>[4]EvapRates!$D$16*'FlamingGorge-Elevation-Area'!D51</f>
        <v>1877.3999999999996</v>
      </c>
      <c r="F51" s="3">
        <v>47</v>
      </c>
      <c r="H51" s="98">
        <f t="shared" si="1"/>
        <v>18496</v>
      </c>
      <c r="I51" s="99">
        <f t="shared" si="0"/>
        <v>5763</v>
      </c>
      <c r="J51">
        <v>18496</v>
      </c>
    </row>
    <row r="52" spans="1:10" x14ac:dyDescent="0.25">
      <c r="A52" s="91">
        <v>5763.5</v>
      </c>
      <c r="B52" s="31"/>
      <c r="C52" s="31">
        <v>18944</v>
      </c>
      <c r="D52">
        <v>898</v>
      </c>
      <c r="E52" s="97">
        <f>[4]EvapRates!$D$16*'FlamingGorge-Elevation-Area'!D52</f>
        <v>1885.7999999999997</v>
      </c>
      <c r="F52" s="3">
        <v>48</v>
      </c>
      <c r="H52" s="98">
        <f t="shared" si="1"/>
        <v>18944</v>
      </c>
      <c r="I52" s="99">
        <f t="shared" si="0"/>
        <v>5763.5</v>
      </c>
      <c r="J52">
        <v>18944</v>
      </c>
    </row>
    <row r="53" spans="1:10" x14ac:dyDescent="0.25">
      <c r="A53" s="91">
        <v>5764</v>
      </c>
      <c r="B53" s="31"/>
      <c r="C53" s="31">
        <v>19394</v>
      </c>
      <c r="D53">
        <v>902</v>
      </c>
      <c r="E53" s="97">
        <f>[4]EvapRates!$D$16*'FlamingGorge-Elevation-Area'!D53</f>
        <v>1894.1999999999996</v>
      </c>
      <c r="F53" s="3">
        <v>49</v>
      </c>
      <c r="H53" s="98">
        <f t="shared" si="1"/>
        <v>19394</v>
      </c>
      <c r="I53" s="99">
        <f t="shared" si="0"/>
        <v>5764</v>
      </c>
      <c r="J53">
        <v>19394</v>
      </c>
    </row>
    <row r="54" spans="1:10" x14ac:dyDescent="0.25">
      <c r="A54" s="91">
        <v>5764.5</v>
      </c>
      <c r="B54" s="31"/>
      <c r="C54" s="31">
        <v>19846</v>
      </c>
      <c r="D54">
        <v>906</v>
      </c>
      <c r="E54" s="97">
        <f>[4]EvapRates!$D$16*'FlamingGorge-Elevation-Area'!D54</f>
        <v>1902.5999999999997</v>
      </c>
      <c r="F54" s="3">
        <v>50</v>
      </c>
      <c r="H54" s="98">
        <f t="shared" si="1"/>
        <v>19846</v>
      </c>
      <c r="I54" s="99">
        <f t="shared" si="0"/>
        <v>5764.5</v>
      </c>
      <c r="J54">
        <v>19846</v>
      </c>
    </row>
    <row r="55" spans="1:10" x14ac:dyDescent="0.25">
      <c r="A55" s="91">
        <v>5765</v>
      </c>
      <c r="B55" s="31"/>
      <c r="C55" s="31">
        <v>20300</v>
      </c>
      <c r="D55">
        <v>910</v>
      </c>
      <c r="E55" s="97">
        <f>[4]EvapRates!$D$16*'FlamingGorge-Elevation-Area'!D55</f>
        <v>1910.9999999999998</v>
      </c>
      <c r="F55" s="3">
        <v>51</v>
      </c>
      <c r="H55" s="98">
        <f t="shared" si="1"/>
        <v>20300</v>
      </c>
      <c r="I55" s="99">
        <f t="shared" si="0"/>
        <v>5765</v>
      </c>
      <c r="J55">
        <v>20300</v>
      </c>
    </row>
    <row r="56" spans="1:10" x14ac:dyDescent="0.25">
      <c r="A56" s="91">
        <v>5765.5</v>
      </c>
      <c r="B56" s="31"/>
      <c r="C56" s="31">
        <v>20756</v>
      </c>
      <c r="D56">
        <v>914</v>
      </c>
      <c r="E56" s="97">
        <f>[4]EvapRates!$D$16*'FlamingGorge-Elevation-Area'!D56</f>
        <v>1919.3999999999996</v>
      </c>
      <c r="F56" s="3">
        <v>52</v>
      </c>
      <c r="H56" s="98">
        <f t="shared" si="1"/>
        <v>20756</v>
      </c>
      <c r="I56" s="99">
        <f t="shared" si="0"/>
        <v>5765.5</v>
      </c>
      <c r="J56">
        <v>20756</v>
      </c>
    </row>
    <row r="57" spans="1:10" x14ac:dyDescent="0.25">
      <c r="A57" s="91">
        <v>5766</v>
      </c>
      <c r="B57" s="31"/>
      <c r="C57" s="31">
        <v>21214</v>
      </c>
      <c r="D57">
        <v>918</v>
      </c>
      <c r="E57" s="97">
        <f>[4]EvapRates!$D$16*'FlamingGorge-Elevation-Area'!D57</f>
        <v>1927.7999999999997</v>
      </c>
      <c r="F57" s="3">
        <v>53</v>
      </c>
      <c r="H57" s="98">
        <f t="shared" si="1"/>
        <v>21214</v>
      </c>
      <c r="I57" s="99">
        <f t="shared" si="0"/>
        <v>5766</v>
      </c>
      <c r="J57">
        <v>21214</v>
      </c>
    </row>
    <row r="58" spans="1:10" x14ac:dyDescent="0.25">
      <c r="A58" s="91">
        <v>5766.5</v>
      </c>
      <c r="B58" s="31"/>
      <c r="C58" s="31">
        <v>21674</v>
      </c>
      <c r="D58">
        <v>922</v>
      </c>
      <c r="E58" s="97">
        <f>[4]EvapRates!$D$16*'FlamingGorge-Elevation-Area'!D58</f>
        <v>1936.1999999999996</v>
      </c>
      <c r="F58" s="3">
        <v>54</v>
      </c>
      <c r="H58" s="98">
        <f t="shared" si="1"/>
        <v>21674</v>
      </c>
      <c r="I58" s="99">
        <f t="shared" si="0"/>
        <v>5766.5</v>
      </c>
      <c r="J58">
        <v>21674</v>
      </c>
    </row>
    <row r="59" spans="1:10" x14ac:dyDescent="0.25">
      <c r="A59" s="91">
        <v>5767</v>
      </c>
      <c r="B59" s="31"/>
      <c r="C59" s="31">
        <v>22136</v>
      </c>
      <c r="D59">
        <v>926</v>
      </c>
      <c r="E59" s="97">
        <f>[4]EvapRates!$D$16*'FlamingGorge-Elevation-Area'!D59</f>
        <v>1944.5999999999997</v>
      </c>
      <c r="F59" s="3">
        <v>55</v>
      </c>
      <c r="H59" s="98">
        <f t="shared" si="1"/>
        <v>22136</v>
      </c>
      <c r="I59" s="99">
        <f t="shared" si="0"/>
        <v>5767</v>
      </c>
      <c r="J59">
        <v>22136</v>
      </c>
    </row>
    <row r="60" spans="1:10" x14ac:dyDescent="0.25">
      <c r="A60" s="91">
        <v>5767.5</v>
      </c>
      <c r="B60" s="31"/>
      <c r="C60" s="31">
        <v>22600</v>
      </c>
      <c r="D60">
        <v>930</v>
      </c>
      <c r="E60" s="97">
        <f>[4]EvapRates!$D$16*'FlamingGorge-Elevation-Area'!D60</f>
        <v>1952.9999999999998</v>
      </c>
      <c r="F60" s="3">
        <v>56</v>
      </c>
      <c r="H60" s="98">
        <f t="shared" si="1"/>
        <v>22600</v>
      </c>
      <c r="I60" s="99">
        <f t="shared" si="0"/>
        <v>5767.5</v>
      </c>
      <c r="J60">
        <v>22600</v>
      </c>
    </row>
    <row r="61" spans="1:10" x14ac:dyDescent="0.25">
      <c r="A61" s="91">
        <v>5768</v>
      </c>
      <c r="B61" s="31"/>
      <c r="C61" s="31">
        <v>23066</v>
      </c>
      <c r="D61">
        <v>934</v>
      </c>
      <c r="E61" s="97">
        <f>[4]EvapRates!$D$16*'FlamingGorge-Elevation-Area'!D61</f>
        <v>1961.3999999999996</v>
      </c>
      <c r="F61" s="3">
        <v>57</v>
      </c>
      <c r="H61" s="98">
        <f t="shared" si="1"/>
        <v>23066</v>
      </c>
      <c r="I61" s="99">
        <f t="shared" si="0"/>
        <v>5768</v>
      </c>
      <c r="J61">
        <v>23066</v>
      </c>
    </row>
    <row r="62" spans="1:10" x14ac:dyDescent="0.25">
      <c r="A62" s="91">
        <v>5768.5</v>
      </c>
      <c r="B62" s="31"/>
      <c r="C62" s="31">
        <v>23534</v>
      </c>
      <c r="D62">
        <v>938</v>
      </c>
      <c r="E62" s="97">
        <f>[4]EvapRates!$D$16*'FlamingGorge-Elevation-Area'!D62</f>
        <v>1969.7999999999997</v>
      </c>
      <c r="F62" s="3">
        <v>58</v>
      </c>
      <c r="H62" s="98">
        <f t="shared" si="1"/>
        <v>23534</v>
      </c>
      <c r="I62" s="99">
        <f t="shared" si="0"/>
        <v>5768.5</v>
      </c>
      <c r="J62">
        <v>23534</v>
      </c>
    </row>
    <row r="63" spans="1:10" x14ac:dyDescent="0.25">
      <c r="A63" s="91">
        <v>5769</v>
      </c>
      <c r="B63" s="31"/>
      <c r="C63" s="31">
        <v>24004</v>
      </c>
      <c r="D63">
        <v>942</v>
      </c>
      <c r="E63" s="97">
        <f>[4]EvapRates!$D$16*'FlamingGorge-Elevation-Area'!D63</f>
        <v>1978.1999999999996</v>
      </c>
      <c r="F63" s="3">
        <v>59</v>
      </c>
      <c r="H63" s="98">
        <f t="shared" si="1"/>
        <v>24004</v>
      </c>
      <c r="I63" s="99">
        <f t="shared" si="0"/>
        <v>5769</v>
      </c>
      <c r="J63">
        <v>24004</v>
      </c>
    </row>
    <row r="64" spans="1:10" x14ac:dyDescent="0.25">
      <c r="A64" s="91">
        <v>5769.5</v>
      </c>
      <c r="B64" s="31"/>
      <c r="C64" s="31">
        <v>24476</v>
      </c>
      <c r="D64">
        <v>946</v>
      </c>
      <c r="E64" s="97">
        <f>[4]EvapRates!$D$16*'FlamingGorge-Elevation-Area'!D64</f>
        <v>1986.5999999999997</v>
      </c>
      <c r="F64" s="3">
        <v>60</v>
      </c>
      <c r="H64" s="98">
        <f t="shared" si="1"/>
        <v>24476</v>
      </c>
      <c r="I64" s="99">
        <f t="shared" si="0"/>
        <v>5769.5</v>
      </c>
      <c r="J64">
        <v>24476</v>
      </c>
    </row>
    <row r="65" spans="1:10" x14ac:dyDescent="0.25">
      <c r="A65" s="91">
        <v>5770</v>
      </c>
      <c r="B65" s="31"/>
      <c r="C65" s="31">
        <v>24950</v>
      </c>
      <c r="D65">
        <v>950</v>
      </c>
      <c r="E65" s="97">
        <f>[4]EvapRates!$D$16*'FlamingGorge-Elevation-Area'!D65</f>
        <v>1994.9999999999998</v>
      </c>
      <c r="F65" s="3">
        <v>61</v>
      </c>
      <c r="H65" s="98">
        <f t="shared" si="1"/>
        <v>24950</v>
      </c>
      <c r="I65" s="99">
        <f t="shared" si="0"/>
        <v>5770</v>
      </c>
      <c r="J65">
        <v>24950</v>
      </c>
    </row>
    <row r="66" spans="1:10" x14ac:dyDescent="0.25">
      <c r="A66" s="91">
        <v>5770.5</v>
      </c>
      <c r="B66" s="31"/>
      <c r="C66" s="31">
        <v>25426.38</v>
      </c>
      <c r="D66">
        <v>955.5</v>
      </c>
      <c r="E66" s="97">
        <f>[4]EvapRates!$D$16*'FlamingGorge-Elevation-Area'!D66</f>
        <v>2006.5499999999997</v>
      </c>
      <c r="F66" s="3">
        <v>62</v>
      </c>
      <c r="H66" s="98">
        <f t="shared" si="1"/>
        <v>25426.38</v>
      </c>
      <c r="I66" s="99">
        <f t="shared" si="0"/>
        <v>5770.5</v>
      </c>
      <c r="J66">
        <v>25426.38</v>
      </c>
    </row>
    <row r="67" spans="1:10" x14ac:dyDescent="0.25">
      <c r="A67" s="91">
        <v>5771</v>
      </c>
      <c r="B67" s="31"/>
      <c r="C67" s="31">
        <v>25905.5</v>
      </c>
      <c r="D67">
        <v>961</v>
      </c>
      <c r="E67" s="97">
        <f>[4]EvapRates!$D$16*'FlamingGorge-Elevation-Area'!D67</f>
        <v>2018.0999999999997</v>
      </c>
      <c r="F67" s="3">
        <v>63</v>
      </c>
      <c r="H67" s="98">
        <f t="shared" si="1"/>
        <v>25905.5</v>
      </c>
      <c r="I67" s="99">
        <f t="shared" si="0"/>
        <v>5771</v>
      </c>
      <c r="J67">
        <v>25905.5</v>
      </c>
    </row>
    <row r="68" spans="1:10" x14ac:dyDescent="0.25">
      <c r="A68" s="91">
        <v>5771.5</v>
      </c>
      <c r="B68" s="31"/>
      <c r="C68" s="31">
        <v>26387.38</v>
      </c>
      <c r="D68">
        <v>966.5</v>
      </c>
      <c r="E68" s="97">
        <f>[4]EvapRates!$D$16*'FlamingGorge-Elevation-Area'!D68</f>
        <v>2029.6499999999996</v>
      </c>
      <c r="F68" s="3">
        <v>64</v>
      </c>
      <c r="H68" s="98">
        <f t="shared" si="1"/>
        <v>26387.38</v>
      </c>
      <c r="I68" s="99">
        <f t="shared" si="0"/>
        <v>5771.5</v>
      </c>
      <c r="J68">
        <v>26387.38</v>
      </c>
    </row>
    <row r="69" spans="1:10" x14ac:dyDescent="0.25">
      <c r="A69" s="91">
        <v>5772</v>
      </c>
      <c r="B69" s="31"/>
      <c r="C69" s="31">
        <v>26872</v>
      </c>
      <c r="D69">
        <v>972</v>
      </c>
      <c r="E69" s="97">
        <f>[4]EvapRates!$D$16*'FlamingGorge-Elevation-Area'!D69</f>
        <v>2041.1999999999996</v>
      </c>
      <c r="F69" s="3">
        <v>65</v>
      </c>
      <c r="H69" s="98">
        <f t="shared" si="1"/>
        <v>26872</v>
      </c>
      <c r="I69" s="99">
        <f t="shared" ref="I69:I132" si="2">A69</f>
        <v>5772</v>
      </c>
      <c r="J69">
        <v>26872</v>
      </c>
    </row>
    <row r="70" spans="1:10" x14ac:dyDescent="0.25">
      <c r="A70" s="91">
        <v>5772.5</v>
      </c>
      <c r="B70" s="31"/>
      <c r="C70" s="31">
        <v>27359.38</v>
      </c>
      <c r="D70">
        <v>977.5</v>
      </c>
      <c r="E70" s="97">
        <f>[4]EvapRates!$D$16*'FlamingGorge-Elevation-Area'!D70</f>
        <v>2052.7499999999995</v>
      </c>
      <c r="F70" s="3">
        <v>66</v>
      </c>
      <c r="H70" s="98">
        <f t="shared" ref="H70:H133" si="3">C70</f>
        <v>27359.38</v>
      </c>
      <c r="I70" s="99">
        <f t="shared" si="2"/>
        <v>5772.5</v>
      </c>
      <c r="J70">
        <v>27359.38</v>
      </c>
    </row>
    <row r="71" spans="1:10" x14ac:dyDescent="0.25">
      <c r="A71" s="91">
        <v>5773</v>
      </c>
      <c r="B71" s="31"/>
      <c r="C71" s="31">
        <v>27849.5</v>
      </c>
      <c r="D71">
        <v>983</v>
      </c>
      <c r="E71" s="97">
        <f>[4]EvapRates!$D$16*'FlamingGorge-Elevation-Area'!D71</f>
        <v>2064.2999999999997</v>
      </c>
      <c r="F71" s="3">
        <v>67</v>
      </c>
      <c r="H71" s="98">
        <f t="shared" si="3"/>
        <v>27849.5</v>
      </c>
      <c r="I71" s="99">
        <f t="shared" si="2"/>
        <v>5773</v>
      </c>
      <c r="J71">
        <v>27849.5</v>
      </c>
    </row>
    <row r="72" spans="1:10" x14ac:dyDescent="0.25">
      <c r="A72" s="91">
        <v>5773.5</v>
      </c>
      <c r="B72" s="31"/>
      <c r="C72" s="31">
        <v>28342.38</v>
      </c>
      <c r="D72">
        <v>988.5</v>
      </c>
      <c r="E72" s="97">
        <f>[4]EvapRates!$D$16*'FlamingGorge-Elevation-Area'!D72</f>
        <v>2075.8499999999995</v>
      </c>
      <c r="F72" s="3">
        <v>68</v>
      </c>
      <c r="H72" s="98">
        <f t="shared" si="3"/>
        <v>28342.38</v>
      </c>
      <c r="I72" s="99">
        <f t="shared" si="2"/>
        <v>5773.5</v>
      </c>
      <c r="J72">
        <v>28342.38</v>
      </c>
    </row>
    <row r="73" spans="1:10" x14ac:dyDescent="0.25">
      <c r="A73" s="91">
        <v>5774</v>
      </c>
      <c r="B73" s="31"/>
      <c r="C73" s="31">
        <v>28838</v>
      </c>
      <c r="D73">
        <v>994</v>
      </c>
      <c r="E73" s="97">
        <f>[4]EvapRates!$D$16*'FlamingGorge-Elevation-Area'!D73</f>
        <v>2087.3999999999996</v>
      </c>
      <c r="F73" s="3">
        <v>69</v>
      </c>
      <c r="H73" s="98">
        <f t="shared" si="3"/>
        <v>28838</v>
      </c>
      <c r="I73" s="99">
        <f t="shared" si="2"/>
        <v>5774</v>
      </c>
      <c r="J73">
        <v>28838</v>
      </c>
    </row>
    <row r="74" spans="1:10" x14ac:dyDescent="0.25">
      <c r="A74" s="91">
        <v>5774.5</v>
      </c>
      <c r="B74" s="31"/>
      <c r="C74" s="31">
        <v>29336.38</v>
      </c>
      <c r="D74">
        <v>999.5</v>
      </c>
      <c r="E74" s="97">
        <f>[4]EvapRates!$D$16*'FlamingGorge-Elevation-Area'!D74</f>
        <v>2098.9499999999998</v>
      </c>
      <c r="F74" s="3">
        <v>70</v>
      </c>
      <c r="H74" s="98">
        <f t="shared" si="3"/>
        <v>29336.38</v>
      </c>
      <c r="I74" s="99">
        <f t="shared" si="2"/>
        <v>5774.5</v>
      </c>
      <c r="J74">
        <v>29336.38</v>
      </c>
    </row>
    <row r="75" spans="1:10" x14ac:dyDescent="0.25">
      <c r="A75" s="91">
        <v>5775</v>
      </c>
      <c r="B75" s="31"/>
      <c r="C75" s="31">
        <v>29837.5</v>
      </c>
      <c r="D75">
        <v>1005</v>
      </c>
      <c r="E75" s="97">
        <f>[4]EvapRates!$D$16*'FlamingGorge-Elevation-Area'!D75</f>
        <v>2110.4999999999995</v>
      </c>
      <c r="F75" s="3">
        <v>71</v>
      </c>
      <c r="H75" s="98">
        <f t="shared" si="3"/>
        <v>29837.5</v>
      </c>
      <c r="I75" s="99">
        <f t="shared" si="2"/>
        <v>5775</v>
      </c>
      <c r="J75">
        <v>29837.5</v>
      </c>
    </row>
    <row r="76" spans="1:10" x14ac:dyDescent="0.25">
      <c r="A76" s="91">
        <v>5775.5</v>
      </c>
      <c r="B76" s="31"/>
      <c r="C76" s="31">
        <v>30341.38</v>
      </c>
      <c r="D76">
        <v>1010.5</v>
      </c>
      <c r="E76" s="97">
        <f>[4]EvapRates!$D$16*'FlamingGorge-Elevation-Area'!D76</f>
        <v>2122.0499999999997</v>
      </c>
      <c r="F76" s="3">
        <v>72</v>
      </c>
      <c r="H76" s="98">
        <f t="shared" si="3"/>
        <v>30341.38</v>
      </c>
      <c r="I76" s="99">
        <f t="shared" si="2"/>
        <v>5775.5</v>
      </c>
      <c r="J76">
        <v>30341.38</v>
      </c>
    </row>
    <row r="77" spans="1:10" x14ac:dyDescent="0.25">
      <c r="A77" s="91">
        <v>5776</v>
      </c>
      <c r="B77" s="31"/>
      <c r="C77" s="31">
        <v>30848</v>
      </c>
      <c r="D77">
        <v>1016</v>
      </c>
      <c r="E77" s="97">
        <f>[4]EvapRates!$D$16*'FlamingGorge-Elevation-Area'!D77</f>
        <v>2133.5999999999995</v>
      </c>
      <c r="F77" s="3">
        <v>73</v>
      </c>
      <c r="H77" s="98">
        <f t="shared" si="3"/>
        <v>30848</v>
      </c>
      <c r="I77" s="99">
        <f t="shared" si="2"/>
        <v>5776</v>
      </c>
      <c r="J77">
        <v>30848</v>
      </c>
    </row>
    <row r="78" spans="1:10" x14ac:dyDescent="0.25">
      <c r="A78" s="91">
        <v>5776.5</v>
      </c>
      <c r="B78" s="31"/>
      <c r="C78" s="31">
        <v>31357.38</v>
      </c>
      <c r="D78">
        <v>1021.5</v>
      </c>
      <c r="E78" s="97">
        <f>[4]EvapRates!$D$16*'FlamingGorge-Elevation-Area'!D78</f>
        <v>2145.1499999999996</v>
      </c>
      <c r="F78" s="3">
        <v>74</v>
      </c>
      <c r="H78" s="98">
        <f t="shared" si="3"/>
        <v>31357.38</v>
      </c>
      <c r="I78" s="99">
        <f t="shared" si="2"/>
        <v>5776.5</v>
      </c>
      <c r="J78">
        <v>31357.38</v>
      </c>
    </row>
    <row r="79" spans="1:10" x14ac:dyDescent="0.25">
      <c r="A79" s="91">
        <v>5777</v>
      </c>
      <c r="B79" s="31"/>
      <c r="C79" s="31">
        <v>31869.5</v>
      </c>
      <c r="D79">
        <v>1027</v>
      </c>
      <c r="E79" s="97">
        <f>[4]EvapRates!$D$16*'FlamingGorge-Elevation-Area'!D79</f>
        <v>2156.6999999999998</v>
      </c>
      <c r="F79" s="3">
        <v>75</v>
      </c>
      <c r="H79" s="98">
        <f t="shared" si="3"/>
        <v>31869.5</v>
      </c>
      <c r="I79" s="99">
        <f t="shared" si="2"/>
        <v>5777</v>
      </c>
      <c r="J79">
        <v>31869.5</v>
      </c>
    </row>
    <row r="80" spans="1:10" x14ac:dyDescent="0.25">
      <c r="A80" s="91">
        <v>5777.5</v>
      </c>
      <c r="B80" s="31"/>
      <c r="C80" s="31">
        <v>32384.38</v>
      </c>
      <c r="D80">
        <v>1032.5</v>
      </c>
      <c r="E80" s="97">
        <f>[4]EvapRates!$D$16*'FlamingGorge-Elevation-Area'!D80</f>
        <v>2168.2499999999995</v>
      </c>
      <c r="F80" s="3">
        <v>76</v>
      </c>
      <c r="H80" s="98">
        <f t="shared" si="3"/>
        <v>32384.38</v>
      </c>
      <c r="I80" s="99">
        <f t="shared" si="2"/>
        <v>5777.5</v>
      </c>
      <c r="J80">
        <v>32384.38</v>
      </c>
    </row>
    <row r="81" spans="1:10" x14ac:dyDescent="0.25">
      <c r="A81" s="91">
        <v>5778</v>
      </c>
      <c r="B81" s="31"/>
      <c r="C81" s="31">
        <v>32902</v>
      </c>
      <c r="D81">
        <v>1038</v>
      </c>
      <c r="E81" s="97">
        <f>[4]EvapRates!$D$16*'FlamingGorge-Elevation-Area'!D81</f>
        <v>2179.7999999999997</v>
      </c>
      <c r="F81" s="3">
        <v>77</v>
      </c>
      <c r="H81" s="98">
        <f t="shared" si="3"/>
        <v>32902</v>
      </c>
      <c r="I81" s="99">
        <f t="shared" si="2"/>
        <v>5778</v>
      </c>
      <c r="J81">
        <v>32902</v>
      </c>
    </row>
    <row r="82" spans="1:10" x14ac:dyDescent="0.25">
      <c r="A82" s="91">
        <v>5778.5</v>
      </c>
      <c r="B82" s="31"/>
      <c r="C82" s="31">
        <v>33422.379999999997</v>
      </c>
      <c r="D82">
        <v>1043.5</v>
      </c>
      <c r="E82" s="97">
        <f>[4]EvapRates!$D$16*'FlamingGorge-Elevation-Area'!D82</f>
        <v>2191.3499999999995</v>
      </c>
      <c r="F82" s="3">
        <v>78</v>
      </c>
      <c r="H82" s="98">
        <f t="shared" si="3"/>
        <v>33422.379999999997</v>
      </c>
      <c r="I82" s="99">
        <f t="shared" si="2"/>
        <v>5778.5</v>
      </c>
      <c r="J82">
        <v>33422.379999999997</v>
      </c>
    </row>
    <row r="83" spans="1:10" x14ac:dyDescent="0.25">
      <c r="A83" s="91">
        <v>5779</v>
      </c>
      <c r="B83" s="31"/>
      <c r="C83" s="31">
        <v>33945.5</v>
      </c>
      <c r="D83">
        <v>1049</v>
      </c>
      <c r="E83" s="97">
        <f>[4]EvapRates!$D$16*'FlamingGorge-Elevation-Area'!D83</f>
        <v>2202.8999999999996</v>
      </c>
      <c r="F83" s="3">
        <v>79</v>
      </c>
      <c r="H83" s="98">
        <f t="shared" si="3"/>
        <v>33945.5</v>
      </c>
      <c r="I83" s="99">
        <f t="shared" si="2"/>
        <v>5779</v>
      </c>
      <c r="J83">
        <v>33945.5</v>
      </c>
    </row>
    <row r="84" spans="1:10" x14ac:dyDescent="0.25">
      <c r="A84" s="91">
        <v>5779.5</v>
      </c>
      <c r="B84" s="31"/>
      <c r="C84" s="31">
        <v>34471.379999999997</v>
      </c>
      <c r="D84">
        <v>1054.5</v>
      </c>
      <c r="E84" s="97">
        <f>[4]EvapRates!$D$16*'FlamingGorge-Elevation-Area'!D84</f>
        <v>2214.4499999999998</v>
      </c>
      <c r="F84" s="3">
        <v>80</v>
      </c>
      <c r="H84" s="98">
        <f t="shared" si="3"/>
        <v>34471.379999999997</v>
      </c>
      <c r="I84" s="99">
        <f t="shared" si="2"/>
        <v>5779.5</v>
      </c>
      <c r="J84">
        <v>34471.379999999997</v>
      </c>
    </row>
    <row r="85" spans="1:10" x14ac:dyDescent="0.25">
      <c r="A85" s="91">
        <v>5780</v>
      </c>
      <c r="B85" s="31"/>
      <c r="C85" s="31">
        <v>35000</v>
      </c>
      <c r="D85">
        <v>1060</v>
      </c>
      <c r="E85" s="97">
        <f>[4]EvapRates!$D$16*'FlamingGorge-Elevation-Area'!D85</f>
        <v>2225.9999999999995</v>
      </c>
      <c r="F85" s="3">
        <v>81</v>
      </c>
      <c r="H85" s="98">
        <f t="shared" si="3"/>
        <v>35000</v>
      </c>
      <c r="I85" s="99">
        <f t="shared" si="2"/>
        <v>5780</v>
      </c>
      <c r="J85">
        <v>35000</v>
      </c>
    </row>
    <row r="86" spans="1:10" x14ac:dyDescent="0.25">
      <c r="A86" s="91">
        <v>5780.5</v>
      </c>
      <c r="B86" s="31"/>
      <c r="C86" s="31">
        <v>35531.129999999997</v>
      </c>
      <c r="D86">
        <v>1064.5</v>
      </c>
      <c r="E86" s="97">
        <f>[4]EvapRates!$D$16*'FlamingGorge-Elevation-Area'!D86</f>
        <v>2235.4499999999998</v>
      </c>
      <c r="F86" s="3">
        <v>82</v>
      </c>
      <c r="H86" s="98">
        <f t="shared" si="3"/>
        <v>35531.129999999997</v>
      </c>
      <c r="I86" s="99">
        <f t="shared" si="2"/>
        <v>5780.5</v>
      </c>
      <c r="J86">
        <v>35531.129999999997</v>
      </c>
    </row>
    <row r="87" spans="1:10" x14ac:dyDescent="0.25">
      <c r="A87" s="91">
        <v>5781</v>
      </c>
      <c r="B87" s="31"/>
      <c r="C87" s="31">
        <v>36064.5</v>
      </c>
      <c r="D87">
        <v>1069</v>
      </c>
      <c r="E87" s="97">
        <f>[4]EvapRates!$D$16*'FlamingGorge-Elevation-Area'!D87</f>
        <v>2244.8999999999996</v>
      </c>
      <c r="F87" s="3">
        <v>83</v>
      </c>
      <c r="H87" s="98">
        <f t="shared" si="3"/>
        <v>36064.5</v>
      </c>
      <c r="I87" s="99">
        <f t="shared" si="2"/>
        <v>5781</v>
      </c>
      <c r="J87">
        <v>36064.5</v>
      </c>
    </row>
    <row r="88" spans="1:10" x14ac:dyDescent="0.25">
      <c r="A88" s="91">
        <v>5781.5</v>
      </c>
      <c r="B88" s="31"/>
      <c r="C88" s="31">
        <v>36600.129999999997</v>
      </c>
      <c r="D88">
        <v>1073.5</v>
      </c>
      <c r="E88" s="97">
        <f>[4]EvapRates!$D$16*'FlamingGorge-Elevation-Area'!D88</f>
        <v>2254.3499999999995</v>
      </c>
      <c r="F88" s="3">
        <v>84</v>
      </c>
      <c r="H88" s="98">
        <f t="shared" si="3"/>
        <v>36600.129999999997</v>
      </c>
      <c r="I88" s="99">
        <f t="shared" si="2"/>
        <v>5781.5</v>
      </c>
      <c r="J88">
        <v>36600.129999999997</v>
      </c>
    </row>
    <row r="89" spans="1:10" x14ac:dyDescent="0.25">
      <c r="A89" s="91">
        <v>5782</v>
      </c>
      <c r="B89" s="31"/>
      <c r="C89" s="31">
        <v>37138</v>
      </c>
      <c r="D89">
        <v>1078</v>
      </c>
      <c r="E89" s="97">
        <f>[4]EvapRates!$D$16*'FlamingGorge-Elevation-Area'!D89</f>
        <v>2263.7999999999997</v>
      </c>
      <c r="F89" s="3">
        <v>85</v>
      </c>
      <c r="H89" s="98">
        <f t="shared" si="3"/>
        <v>37138</v>
      </c>
      <c r="I89" s="99">
        <f t="shared" si="2"/>
        <v>5782</v>
      </c>
      <c r="J89">
        <v>37138</v>
      </c>
    </row>
    <row r="90" spans="1:10" x14ac:dyDescent="0.25">
      <c r="A90" s="91">
        <v>5782.5</v>
      </c>
      <c r="B90" s="31"/>
      <c r="C90" s="31">
        <v>37678.129999999997</v>
      </c>
      <c r="D90">
        <v>1082.5</v>
      </c>
      <c r="E90" s="97">
        <f>[4]EvapRates!$D$16*'FlamingGorge-Elevation-Area'!D90</f>
        <v>2273.2499999999995</v>
      </c>
      <c r="F90" s="3">
        <v>86</v>
      </c>
      <c r="H90" s="98">
        <f t="shared" si="3"/>
        <v>37678.129999999997</v>
      </c>
      <c r="I90" s="99">
        <f t="shared" si="2"/>
        <v>5782.5</v>
      </c>
      <c r="J90">
        <v>37678.129999999997</v>
      </c>
    </row>
    <row r="91" spans="1:10" x14ac:dyDescent="0.25">
      <c r="A91" s="91">
        <v>5783</v>
      </c>
      <c r="B91" s="31"/>
      <c r="C91" s="31">
        <v>38220.5</v>
      </c>
      <c r="D91">
        <v>1087</v>
      </c>
      <c r="E91" s="97">
        <f>[4]EvapRates!$D$16*'FlamingGorge-Elevation-Area'!D91</f>
        <v>2282.6999999999998</v>
      </c>
      <c r="F91" s="3">
        <v>87</v>
      </c>
      <c r="H91" s="98">
        <f t="shared" si="3"/>
        <v>38220.5</v>
      </c>
      <c r="I91" s="99">
        <f t="shared" si="2"/>
        <v>5783</v>
      </c>
      <c r="J91">
        <v>38220.5</v>
      </c>
    </row>
    <row r="92" spans="1:10" x14ac:dyDescent="0.25">
      <c r="A92" s="91">
        <v>5783.5</v>
      </c>
      <c r="B92" s="31"/>
      <c r="C92" s="31">
        <v>38765.129999999997</v>
      </c>
      <c r="D92">
        <v>1091.5</v>
      </c>
      <c r="E92" s="97">
        <f>[4]EvapRates!$D$16*'FlamingGorge-Elevation-Area'!D92</f>
        <v>2292.1499999999996</v>
      </c>
      <c r="F92" s="3">
        <v>88</v>
      </c>
      <c r="H92" s="98">
        <f t="shared" si="3"/>
        <v>38765.129999999997</v>
      </c>
      <c r="I92" s="99">
        <f t="shared" si="2"/>
        <v>5783.5</v>
      </c>
      <c r="J92">
        <v>38765.129999999997</v>
      </c>
    </row>
    <row r="93" spans="1:10" x14ac:dyDescent="0.25">
      <c r="A93" s="91">
        <v>5784</v>
      </c>
      <c r="B93" s="31"/>
      <c r="C93" s="31">
        <v>39312</v>
      </c>
      <c r="D93">
        <v>1096</v>
      </c>
      <c r="E93" s="97">
        <f>[4]EvapRates!$D$16*'FlamingGorge-Elevation-Area'!D93</f>
        <v>2301.5999999999995</v>
      </c>
      <c r="F93" s="3">
        <v>89</v>
      </c>
      <c r="H93" s="98">
        <f t="shared" si="3"/>
        <v>39312</v>
      </c>
      <c r="I93" s="99">
        <f t="shared" si="2"/>
        <v>5784</v>
      </c>
      <c r="J93">
        <v>39312</v>
      </c>
    </row>
    <row r="94" spans="1:10" x14ac:dyDescent="0.25">
      <c r="A94" s="91">
        <v>5784.5</v>
      </c>
      <c r="B94" s="31">
        <f>C94-39700</f>
        <v>161.12999999999738</v>
      </c>
      <c r="C94" s="31">
        <v>39861.129999999997</v>
      </c>
      <c r="D94">
        <v>1100.5</v>
      </c>
      <c r="E94" s="97">
        <f>[4]EvapRates!$D$16*'FlamingGorge-Elevation-Area'!D94</f>
        <v>2311.0499999999997</v>
      </c>
      <c r="F94" s="3">
        <v>90</v>
      </c>
      <c r="H94" s="98">
        <f t="shared" si="3"/>
        <v>39861.129999999997</v>
      </c>
      <c r="I94" s="99">
        <f t="shared" si="2"/>
        <v>5784.5</v>
      </c>
      <c r="J94">
        <v>39861.129999999997</v>
      </c>
    </row>
    <row r="95" spans="1:10" x14ac:dyDescent="0.25">
      <c r="A95" s="91">
        <v>5785</v>
      </c>
      <c r="B95" s="31">
        <f t="shared" ref="B95:B158" si="4">C95-39700</f>
        <v>712.5</v>
      </c>
      <c r="C95" s="31">
        <v>40412.5</v>
      </c>
      <c r="D95">
        <v>1105</v>
      </c>
      <c r="E95" s="97">
        <f>[4]EvapRates!$D$16*'FlamingGorge-Elevation-Area'!D95</f>
        <v>2320.4999999999995</v>
      </c>
      <c r="F95" s="3">
        <v>91</v>
      </c>
      <c r="H95" s="98">
        <f t="shared" si="3"/>
        <v>40412.5</v>
      </c>
      <c r="I95" s="99">
        <f t="shared" si="2"/>
        <v>5785</v>
      </c>
      <c r="J95">
        <v>40412.5</v>
      </c>
    </row>
    <row r="96" spans="1:10" x14ac:dyDescent="0.25">
      <c r="A96" s="91">
        <v>5785.5</v>
      </c>
      <c r="B96" s="31">
        <f t="shared" si="4"/>
        <v>1266.1299999999974</v>
      </c>
      <c r="C96" s="31">
        <v>40966.129999999997</v>
      </c>
      <c r="D96">
        <v>1109.5</v>
      </c>
      <c r="E96" s="97">
        <f>[4]EvapRates!$D$16*'FlamingGorge-Elevation-Area'!D96</f>
        <v>2329.9499999999998</v>
      </c>
      <c r="F96" s="3">
        <v>92</v>
      </c>
      <c r="H96" s="98">
        <f t="shared" si="3"/>
        <v>40966.129999999997</v>
      </c>
      <c r="I96" s="99">
        <f t="shared" si="2"/>
        <v>5785.5</v>
      </c>
      <c r="J96">
        <v>40966.129999999997</v>
      </c>
    </row>
    <row r="97" spans="1:10" x14ac:dyDescent="0.25">
      <c r="A97" s="91">
        <v>5786</v>
      </c>
      <c r="B97" s="31">
        <f t="shared" si="4"/>
        <v>1822</v>
      </c>
      <c r="C97" s="31">
        <v>41522</v>
      </c>
      <c r="D97">
        <v>1114</v>
      </c>
      <c r="E97" s="97">
        <f>[4]EvapRates!$D$16*'FlamingGorge-Elevation-Area'!D97</f>
        <v>2339.3999999999996</v>
      </c>
      <c r="F97" s="3">
        <v>93</v>
      </c>
      <c r="H97" s="98">
        <f t="shared" si="3"/>
        <v>41522</v>
      </c>
      <c r="I97" s="99">
        <f t="shared" si="2"/>
        <v>5786</v>
      </c>
      <c r="J97">
        <v>41522</v>
      </c>
    </row>
    <row r="98" spans="1:10" x14ac:dyDescent="0.25">
      <c r="A98" s="91">
        <v>5786.5</v>
      </c>
      <c r="B98" s="31">
        <f t="shared" si="4"/>
        <v>2380.1299999999974</v>
      </c>
      <c r="C98" s="31">
        <v>42080.13</v>
      </c>
      <c r="D98">
        <v>1118.5</v>
      </c>
      <c r="E98" s="97">
        <f>[4]EvapRates!$D$16*'FlamingGorge-Elevation-Area'!D98</f>
        <v>2348.8499999999995</v>
      </c>
      <c r="F98" s="3">
        <v>94</v>
      </c>
      <c r="H98" s="98">
        <f t="shared" si="3"/>
        <v>42080.13</v>
      </c>
      <c r="I98" s="99">
        <f t="shared" si="2"/>
        <v>5786.5</v>
      </c>
      <c r="J98">
        <v>42080.13</v>
      </c>
    </row>
    <row r="99" spans="1:10" x14ac:dyDescent="0.25">
      <c r="A99" s="91">
        <v>5787</v>
      </c>
      <c r="B99" s="31">
        <f t="shared" si="4"/>
        <v>2940.5</v>
      </c>
      <c r="C99" s="31">
        <v>42640.5</v>
      </c>
      <c r="D99">
        <v>1123</v>
      </c>
      <c r="E99" s="97">
        <f>[4]EvapRates!$D$16*'FlamingGorge-Elevation-Area'!D99</f>
        <v>2358.2999999999997</v>
      </c>
      <c r="F99" s="3">
        <v>95</v>
      </c>
      <c r="H99" s="98">
        <f t="shared" si="3"/>
        <v>42640.5</v>
      </c>
      <c r="I99" s="99">
        <f t="shared" si="2"/>
        <v>5787</v>
      </c>
      <c r="J99">
        <v>42640.5</v>
      </c>
    </row>
    <row r="100" spans="1:10" x14ac:dyDescent="0.25">
      <c r="A100" s="91">
        <v>5787.5</v>
      </c>
      <c r="B100" s="31">
        <f t="shared" si="4"/>
        <v>3503.1299999999974</v>
      </c>
      <c r="C100" s="31">
        <v>43203.13</v>
      </c>
      <c r="D100">
        <v>1127.5</v>
      </c>
      <c r="E100" s="97">
        <f>[4]EvapRates!$D$16*'FlamingGorge-Elevation-Area'!D100</f>
        <v>2367.7499999999995</v>
      </c>
      <c r="F100" s="3">
        <v>96</v>
      </c>
      <c r="H100" s="98">
        <f t="shared" si="3"/>
        <v>43203.13</v>
      </c>
      <c r="I100" s="99">
        <f t="shared" si="2"/>
        <v>5787.5</v>
      </c>
      <c r="J100">
        <v>43203.13</v>
      </c>
    </row>
    <row r="101" spans="1:10" x14ac:dyDescent="0.25">
      <c r="A101" s="91">
        <v>5788</v>
      </c>
      <c r="B101" s="31">
        <f t="shared" si="4"/>
        <v>4068</v>
      </c>
      <c r="C101" s="31">
        <v>43768</v>
      </c>
      <c r="D101">
        <v>1132</v>
      </c>
      <c r="E101" s="97">
        <f>[4]EvapRates!$D$16*'FlamingGorge-Elevation-Area'!D101</f>
        <v>2377.1999999999998</v>
      </c>
      <c r="F101" s="3">
        <v>97</v>
      </c>
      <c r="H101" s="98">
        <f t="shared" si="3"/>
        <v>43768</v>
      </c>
      <c r="I101" s="99">
        <f t="shared" si="2"/>
        <v>5788</v>
      </c>
      <c r="J101">
        <v>43768</v>
      </c>
    </row>
    <row r="102" spans="1:10" x14ac:dyDescent="0.25">
      <c r="A102" s="91">
        <v>5788.5</v>
      </c>
      <c r="B102" s="31">
        <f t="shared" si="4"/>
        <v>4635.1299999999974</v>
      </c>
      <c r="C102" s="31">
        <v>44335.13</v>
      </c>
      <c r="D102">
        <v>1136.5</v>
      </c>
      <c r="E102" s="97">
        <f>[4]EvapRates!$D$16*'FlamingGorge-Elevation-Area'!D102</f>
        <v>2386.6499999999996</v>
      </c>
      <c r="F102" s="3">
        <v>98</v>
      </c>
      <c r="H102" s="98">
        <f t="shared" si="3"/>
        <v>44335.13</v>
      </c>
      <c r="I102" s="99">
        <f t="shared" si="2"/>
        <v>5788.5</v>
      </c>
      <c r="J102">
        <v>44335.13</v>
      </c>
    </row>
    <row r="103" spans="1:10" x14ac:dyDescent="0.25">
      <c r="A103" s="91">
        <v>5789</v>
      </c>
      <c r="B103" s="31">
        <f t="shared" si="4"/>
        <v>5204.5</v>
      </c>
      <c r="C103" s="31">
        <v>44904.5</v>
      </c>
      <c r="D103">
        <v>1141</v>
      </c>
      <c r="E103" s="97">
        <f>[4]EvapRates!$D$16*'FlamingGorge-Elevation-Area'!D103</f>
        <v>2396.0999999999995</v>
      </c>
      <c r="F103" s="3">
        <v>99</v>
      </c>
      <c r="H103" s="98">
        <f t="shared" si="3"/>
        <v>44904.5</v>
      </c>
      <c r="I103" s="99">
        <f t="shared" si="2"/>
        <v>5789</v>
      </c>
      <c r="J103">
        <v>44904.5</v>
      </c>
    </row>
    <row r="104" spans="1:10" x14ac:dyDescent="0.25">
      <c r="A104" s="91">
        <v>5789.5</v>
      </c>
      <c r="B104" s="31">
        <f t="shared" si="4"/>
        <v>5776.1299999999974</v>
      </c>
      <c r="C104" s="31">
        <v>45476.13</v>
      </c>
      <c r="D104">
        <v>1145.5</v>
      </c>
      <c r="E104" s="97">
        <f>[4]EvapRates!$D$16*'FlamingGorge-Elevation-Area'!D104</f>
        <v>2405.5499999999997</v>
      </c>
      <c r="F104" s="3">
        <v>100</v>
      </c>
      <c r="H104" s="98">
        <f t="shared" si="3"/>
        <v>45476.13</v>
      </c>
      <c r="I104" s="99">
        <f t="shared" si="2"/>
        <v>5789.5</v>
      </c>
      <c r="J104">
        <v>45476.13</v>
      </c>
    </row>
    <row r="105" spans="1:10" x14ac:dyDescent="0.25">
      <c r="A105" s="91">
        <v>5790</v>
      </c>
      <c r="B105" s="31">
        <f t="shared" si="4"/>
        <v>6350</v>
      </c>
      <c r="C105" s="31">
        <v>46050</v>
      </c>
      <c r="D105">
        <v>1150</v>
      </c>
      <c r="E105" s="97">
        <f>[4]EvapRates!$D$16*'FlamingGorge-Elevation-Area'!D105</f>
        <v>2414.9999999999995</v>
      </c>
      <c r="F105" s="3">
        <v>101</v>
      </c>
      <c r="H105" s="98">
        <f t="shared" si="3"/>
        <v>46050</v>
      </c>
      <c r="I105" s="99">
        <f t="shared" si="2"/>
        <v>5790</v>
      </c>
      <c r="J105">
        <v>46050</v>
      </c>
    </row>
    <row r="106" spans="1:10" x14ac:dyDescent="0.25">
      <c r="A106" s="91">
        <v>5790.5</v>
      </c>
      <c r="B106" s="31">
        <f t="shared" si="4"/>
        <v>6926.3799999999974</v>
      </c>
      <c r="C106" s="31">
        <v>46626.38</v>
      </c>
      <c r="D106">
        <v>1155.5</v>
      </c>
      <c r="E106" s="97">
        <f>[4]EvapRates!$D$16*'FlamingGorge-Elevation-Area'!D106</f>
        <v>2426.5499999999997</v>
      </c>
      <c r="F106" s="3">
        <v>102</v>
      </c>
      <c r="H106" s="98">
        <f t="shared" si="3"/>
        <v>46626.38</v>
      </c>
      <c r="I106" s="99">
        <f t="shared" si="2"/>
        <v>5790.5</v>
      </c>
      <c r="J106">
        <v>46626.38</v>
      </c>
    </row>
    <row r="107" spans="1:10" x14ac:dyDescent="0.25">
      <c r="A107" s="91">
        <v>5791</v>
      </c>
      <c r="B107" s="31">
        <f t="shared" si="4"/>
        <v>7505.5</v>
      </c>
      <c r="C107" s="31">
        <v>47205.5</v>
      </c>
      <c r="D107">
        <v>1161</v>
      </c>
      <c r="E107" s="97">
        <f>[4]EvapRates!$D$16*'FlamingGorge-Elevation-Area'!D107</f>
        <v>2438.0999999999995</v>
      </c>
      <c r="F107" s="3">
        <v>103</v>
      </c>
      <c r="H107" s="98">
        <f t="shared" si="3"/>
        <v>47205.5</v>
      </c>
      <c r="I107" s="99">
        <f t="shared" si="2"/>
        <v>5791</v>
      </c>
      <c r="J107">
        <v>47205.5</v>
      </c>
    </row>
    <row r="108" spans="1:10" x14ac:dyDescent="0.25">
      <c r="A108" s="91">
        <v>5791.5</v>
      </c>
      <c r="B108" s="31">
        <f t="shared" si="4"/>
        <v>8087.3799999999974</v>
      </c>
      <c r="C108" s="31">
        <v>47787.38</v>
      </c>
      <c r="D108">
        <v>1166.5</v>
      </c>
      <c r="E108" s="97">
        <f>[4]EvapRates!$D$16*'FlamingGorge-Elevation-Area'!D108</f>
        <v>2449.6499999999996</v>
      </c>
      <c r="F108" s="3">
        <v>104</v>
      </c>
      <c r="H108" s="98">
        <f t="shared" si="3"/>
        <v>47787.38</v>
      </c>
      <c r="I108" s="99">
        <f t="shared" si="2"/>
        <v>5791.5</v>
      </c>
      <c r="J108">
        <v>47787.38</v>
      </c>
    </row>
    <row r="109" spans="1:10" x14ac:dyDescent="0.25">
      <c r="A109" s="91">
        <v>5792</v>
      </c>
      <c r="B109" s="31">
        <f t="shared" si="4"/>
        <v>8672</v>
      </c>
      <c r="C109" s="31">
        <v>48372</v>
      </c>
      <c r="D109">
        <v>1172</v>
      </c>
      <c r="E109" s="97">
        <f>[4]EvapRates!$D$16*'FlamingGorge-Elevation-Area'!D109</f>
        <v>2461.1999999999994</v>
      </c>
      <c r="F109" s="3">
        <v>105</v>
      </c>
      <c r="H109" s="98">
        <f t="shared" si="3"/>
        <v>48372</v>
      </c>
      <c r="I109" s="99">
        <f t="shared" si="2"/>
        <v>5792</v>
      </c>
      <c r="J109">
        <v>48372</v>
      </c>
    </row>
    <row r="110" spans="1:10" x14ac:dyDescent="0.25">
      <c r="A110" s="91">
        <v>5792.5</v>
      </c>
      <c r="B110" s="31">
        <f t="shared" si="4"/>
        <v>9259.3799999999974</v>
      </c>
      <c r="C110" s="31">
        <v>48959.38</v>
      </c>
      <c r="D110">
        <v>1177.5</v>
      </c>
      <c r="E110" s="97">
        <f>[4]EvapRates!$D$16*'FlamingGorge-Elevation-Area'!D110</f>
        <v>2472.7499999999995</v>
      </c>
      <c r="F110" s="3">
        <v>106</v>
      </c>
      <c r="H110" s="98">
        <f t="shared" si="3"/>
        <v>48959.38</v>
      </c>
      <c r="I110" s="99">
        <f t="shared" si="2"/>
        <v>5792.5</v>
      </c>
      <c r="J110">
        <v>48959.38</v>
      </c>
    </row>
    <row r="111" spans="1:10" x14ac:dyDescent="0.25">
      <c r="A111" s="91">
        <v>5793</v>
      </c>
      <c r="B111" s="31">
        <f t="shared" si="4"/>
        <v>9849.5</v>
      </c>
      <c r="C111" s="31">
        <v>49549.5</v>
      </c>
      <c r="D111">
        <v>1183</v>
      </c>
      <c r="E111" s="97">
        <f>[4]EvapRates!$D$16*'FlamingGorge-Elevation-Area'!D111</f>
        <v>2484.2999999999997</v>
      </c>
      <c r="F111" s="3">
        <v>107</v>
      </c>
      <c r="H111" s="98">
        <f t="shared" si="3"/>
        <v>49549.5</v>
      </c>
      <c r="I111" s="99">
        <f t="shared" si="2"/>
        <v>5793</v>
      </c>
      <c r="J111">
        <v>49549.5</v>
      </c>
    </row>
    <row r="112" spans="1:10" x14ac:dyDescent="0.25">
      <c r="A112" s="91">
        <v>5793.5</v>
      </c>
      <c r="B112" s="31">
        <f t="shared" si="4"/>
        <v>10442.379999999997</v>
      </c>
      <c r="C112" s="31">
        <v>50142.38</v>
      </c>
      <c r="D112">
        <v>1188.5</v>
      </c>
      <c r="E112" s="97">
        <f>[4]EvapRates!$D$16*'FlamingGorge-Elevation-Area'!D112</f>
        <v>2495.8499999999995</v>
      </c>
      <c r="F112" s="3">
        <v>108</v>
      </c>
      <c r="H112" s="98">
        <f t="shared" si="3"/>
        <v>50142.38</v>
      </c>
      <c r="I112" s="99">
        <f t="shared" si="2"/>
        <v>5793.5</v>
      </c>
      <c r="J112">
        <v>50142.38</v>
      </c>
    </row>
    <row r="113" spans="1:10" x14ac:dyDescent="0.25">
      <c r="A113" s="91">
        <v>5794</v>
      </c>
      <c r="B113" s="31">
        <f t="shared" si="4"/>
        <v>11038</v>
      </c>
      <c r="C113" s="31">
        <v>50738</v>
      </c>
      <c r="D113">
        <v>1194</v>
      </c>
      <c r="E113" s="97">
        <f>[4]EvapRates!$D$16*'FlamingGorge-Elevation-Area'!D113</f>
        <v>2507.3999999999996</v>
      </c>
      <c r="F113" s="3">
        <v>109</v>
      </c>
      <c r="H113" s="98">
        <f t="shared" si="3"/>
        <v>50738</v>
      </c>
      <c r="I113" s="99">
        <f t="shared" si="2"/>
        <v>5794</v>
      </c>
      <c r="J113">
        <v>50738</v>
      </c>
    </row>
    <row r="114" spans="1:10" x14ac:dyDescent="0.25">
      <c r="A114" s="91">
        <v>5794.5</v>
      </c>
      <c r="B114" s="31">
        <f t="shared" si="4"/>
        <v>11636.379999999997</v>
      </c>
      <c r="C114" s="31">
        <v>51336.38</v>
      </c>
      <c r="D114">
        <v>1199.5</v>
      </c>
      <c r="E114" s="97">
        <f>[4]EvapRates!$D$16*'FlamingGorge-Elevation-Area'!D114</f>
        <v>2518.9499999999994</v>
      </c>
      <c r="F114" s="3">
        <v>110</v>
      </c>
      <c r="H114" s="98">
        <f t="shared" si="3"/>
        <v>51336.38</v>
      </c>
      <c r="I114" s="99">
        <f t="shared" si="2"/>
        <v>5794.5</v>
      </c>
      <c r="J114">
        <v>51336.38</v>
      </c>
    </row>
    <row r="115" spans="1:10" x14ac:dyDescent="0.25">
      <c r="A115" s="91">
        <v>5795</v>
      </c>
      <c r="B115" s="31">
        <f t="shared" si="4"/>
        <v>12237.5</v>
      </c>
      <c r="C115" s="31">
        <v>51937.5</v>
      </c>
      <c r="D115">
        <v>1205</v>
      </c>
      <c r="E115" s="97">
        <f>[4]EvapRates!$D$16*'FlamingGorge-Elevation-Area'!D115</f>
        <v>2530.4999999999995</v>
      </c>
      <c r="F115" s="3">
        <v>111</v>
      </c>
      <c r="H115" s="98">
        <f t="shared" si="3"/>
        <v>51937.5</v>
      </c>
      <c r="I115" s="99">
        <f t="shared" si="2"/>
        <v>5795</v>
      </c>
      <c r="J115">
        <v>51937.5</v>
      </c>
    </row>
    <row r="116" spans="1:10" x14ac:dyDescent="0.25">
      <c r="A116" s="91">
        <v>5795.5</v>
      </c>
      <c r="B116" s="31">
        <f t="shared" si="4"/>
        <v>12841.379999999997</v>
      </c>
      <c r="C116" s="31">
        <v>52541.38</v>
      </c>
      <c r="D116">
        <v>1210.5</v>
      </c>
      <c r="E116" s="97">
        <f>[4]EvapRates!$D$16*'FlamingGorge-Elevation-Area'!D116</f>
        <v>2542.0499999999997</v>
      </c>
      <c r="F116" s="3">
        <v>112</v>
      </c>
      <c r="H116" s="98">
        <f t="shared" si="3"/>
        <v>52541.38</v>
      </c>
      <c r="I116" s="99">
        <f t="shared" si="2"/>
        <v>5795.5</v>
      </c>
      <c r="J116">
        <v>52541.38</v>
      </c>
    </row>
    <row r="117" spans="1:10" x14ac:dyDescent="0.25">
      <c r="A117" s="91">
        <v>5796</v>
      </c>
      <c r="B117" s="31">
        <f t="shared" si="4"/>
        <v>13448</v>
      </c>
      <c r="C117" s="31">
        <v>53148</v>
      </c>
      <c r="D117">
        <v>1216</v>
      </c>
      <c r="E117" s="97">
        <f>[4]EvapRates!$D$16*'FlamingGorge-Elevation-Area'!D117</f>
        <v>2553.5999999999995</v>
      </c>
      <c r="F117" s="3">
        <v>113</v>
      </c>
      <c r="H117" s="98">
        <f t="shared" si="3"/>
        <v>53148</v>
      </c>
      <c r="I117" s="99">
        <f t="shared" si="2"/>
        <v>5796</v>
      </c>
      <c r="J117">
        <v>53148</v>
      </c>
    </row>
    <row r="118" spans="1:10" x14ac:dyDescent="0.25">
      <c r="A118" s="91">
        <v>5796.5</v>
      </c>
      <c r="B118" s="31">
        <f t="shared" si="4"/>
        <v>14057.379999999997</v>
      </c>
      <c r="C118" s="31">
        <v>53757.38</v>
      </c>
      <c r="D118">
        <v>1221.5</v>
      </c>
      <c r="E118" s="97">
        <f>[4]EvapRates!$D$16*'FlamingGorge-Elevation-Area'!D118</f>
        <v>2565.1499999999996</v>
      </c>
      <c r="F118" s="3">
        <v>114</v>
      </c>
      <c r="H118" s="98">
        <f t="shared" si="3"/>
        <v>53757.38</v>
      </c>
      <c r="I118" s="99">
        <f t="shared" si="2"/>
        <v>5796.5</v>
      </c>
      <c r="J118">
        <v>53757.38</v>
      </c>
    </row>
    <row r="119" spans="1:10" x14ac:dyDescent="0.25">
      <c r="A119" s="91">
        <v>5797</v>
      </c>
      <c r="B119" s="31">
        <f t="shared" si="4"/>
        <v>14669.5</v>
      </c>
      <c r="C119" s="31">
        <v>54369.5</v>
      </c>
      <c r="D119">
        <v>1227</v>
      </c>
      <c r="E119" s="97">
        <f>[4]EvapRates!$D$16*'FlamingGorge-Elevation-Area'!D119</f>
        <v>2576.6999999999994</v>
      </c>
      <c r="F119" s="3">
        <v>115</v>
      </c>
      <c r="H119" s="98">
        <f t="shared" si="3"/>
        <v>54369.5</v>
      </c>
      <c r="I119" s="99">
        <f t="shared" si="2"/>
        <v>5797</v>
      </c>
      <c r="J119">
        <v>54369.5</v>
      </c>
    </row>
    <row r="120" spans="1:10" x14ac:dyDescent="0.25">
      <c r="A120" s="91">
        <v>5797.5</v>
      </c>
      <c r="B120" s="31">
        <f t="shared" si="4"/>
        <v>15284.379999999997</v>
      </c>
      <c r="C120" s="31">
        <v>54984.38</v>
      </c>
      <c r="D120">
        <v>1232.5</v>
      </c>
      <c r="E120" s="97">
        <f>[4]EvapRates!$D$16*'FlamingGorge-Elevation-Area'!D120</f>
        <v>2588.2499999999995</v>
      </c>
      <c r="F120" s="3">
        <v>116</v>
      </c>
      <c r="H120" s="98">
        <f t="shared" si="3"/>
        <v>54984.38</v>
      </c>
      <c r="I120" s="99">
        <f t="shared" si="2"/>
        <v>5797.5</v>
      </c>
      <c r="J120">
        <v>54984.38</v>
      </c>
    </row>
    <row r="121" spans="1:10" x14ac:dyDescent="0.25">
      <c r="A121" s="91">
        <v>5798</v>
      </c>
      <c r="B121" s="31">
        <f t="shared" si="4"/>
        <v>15902</v>
      </c>
      <c r="C121" s="31">
        <v>55602</v>
      </c>
      <c r="D121">
        <v>1238</v>
      </c>
      <c r="E121" s="97">
        <f>[4]EvapRates!$D$16*'FlamingGorge-Elevation-Area'!D121</f>
        <v>2599.7999999999997</v>
      </c>
      <c r="F121" s="3">
        <v>117</v>
      </c>
      <c r="H121" s="98">
        <f t="shared" si="3"/>
        <v>55602</v>
      </c>
      <c r="I121" s="99">
        <f t="shared" si="2"/>
        <v>5798</v>
      </c>
      <c r="J121">
        <v>55602</v>
      </c>
    </row>
    <row r="122" spans="1:10" x14ac:dyDescent="0.25">
      <c r="A122" s="91">
        <v>5798.5</v>
      </c>
      <c r="B122" s="31">
        <f t="shared" si="4"/>
        <v>16522.379999999997</v>
      </c>
      <c r="C122" s="31">
        <v>56222.38</v>
      </c>
      <c r="D122">
        <v>1243.5</v>
      </c>
      <c r="E122" s="97">
        <f>[4]EvapRates!$D$16*'FlamingGorge-Elevation-Area'!D122</f>
        <v>2611.3499999999995</v>
      </c>
      <c r="F122" s="3">
        <v>118</v>
      </c>
      <c r="H122" s="98">
        <f t="shared" si="3"/>
        <v>56222.38</v>
      </c>
      <c r="I122" s="99">
        <f t="shared" si="2"/>
        <v>5798.5</v>
      </c>
      <c r="J122">
        <v>56222.38</v>
      </c>
    </row>
    <row r="123" spans="1:10" x14ac:dyDescent="0.25">
      <c r="A123" s="91">
        <v>5799</v>
      </c>
      <c r="B123" s="31">
        <f t="shared" si="4"/>
        <v>17145.5</v>
      </c>
      <c r="C123" s="31">
        <v>56845.5</v>
      </c>
      <c r="D123">
        <v>1249</v>
      </c>
      <c r="E123" s="97">
        <f>[4]EvapRates!$D$16*'FlamingGorge-Elevation-Area'!D123</f>
        <v>2622.8999999999996</v>
      </c>
      <c r="F123" s="3">
        <v>119</v>
      </c>
      <c r="H123" s="98">
        <f t="shared" si="3"/>
        <v>56845.5</v>
      </c>
      <c r="I123" s="99">
        <f t="shared" si="2"/>
        <v>5799</v>
      </c>
      <c r="J123">
        <v>56845.5</v>
      </c>
    </row>
    <row r="124" spans="1:10" x14ac:dyDescent="0.25">
      <c r="A124" s="91">
        <v>5799.5</v>
      </c>
      <c r="B124" s="31">
        <f t="shared" si="4"/>
        <v>17771.379999999997</v>
      </c>
      <c r="C124" s="31">
        <v>57471.38</v>
      </c>
      <c r="D124">
        <v>1254.5</v>
      </c>
      <c r="E124" s="97">
        <f>[4]EvapRates!$D$16*'FlamingGorge-Elevation-Area'!D124</f>
        <v>2634.4499999999994</v>
      </c>
      <c r="F124" s="3">
        <v>120</v>
      </c>
      <c r="H124" s="98">
        <f t="shared" si="3"/>
        <v>57471.38</v>
      </c>
      <c r="I124" s="99">
        <f t="shared" si="2"/>
        <v>5799.5</v>
      </c>
      <c r="J124">
        <v>57471.38</v>
      </c>
    </row>
    <row r="125" spans="1:10" x14ac:dyDescent="0.25">
      <c r="A125" s="91">
        <v>5800</v>
      </c>
      <c r="B125" s="31">
        <f t="shared" si="4"/>
        <v>18400</v>
      </c>
      <c r="C125" s="31">
        <v>58100</v>
      </c>
      <c r="D125">
        <v>1260</v>
      </c>
      <c r="E125" s="97">
        <f>[4]EvapRates!$D$16*'FlamingGorge-Elevation-Area'!D125</f>
        <v>2645.9999999999995</v>
      </c>
      <c r="F125" s="3">
        <v>121</v>
      </c>
      <c r="H125" s="98">
        <f t="shared" si="3"/>
        <v>58100</v>
      </c>
      <c r="I125" s="99">
        <f t="shared" si="2"/>
        <v>5800</v>
      </c>
      <c r="J125">
        <v>58100</v>
      </c>
    </row>
    <row r="126" spans="1:10" x14ac:dyDescent="0.25">
      <c r="A126" s="91">
        <v>5800.5</v>
      </c>
      <c r="B126" s="31">
        <f t="shared" si="4"/>
        <v>19031.879999999997</v>
      </c>
      <c r="C126" s="31">
        <v>58731.88</v>
      </c>
      <c r="D126">
        <v>1267.5</v>
      </c>
      <c r="E126" s="97">
        <f>[4]EvapRates!$D$16*'FlamingGorge-Elevation-Area'!D126</f>
        <v>2661.7499999999995</v>
      </c>
      <c r="F126" s="3">
        <v>122</v>
      </c>
      <c r="H126" s="98">
        <f t="shared" si="3"/>
        <v>58731.88</v>
      </c>
      <c r="I126" s="99">
        <f t="shared" si="2"/>
        <v>5800.5</v>
      </c>
      <c r="J126">
        <v>58731.88</v>
      </c>
    </row>
    <row r="127" spans="1:10" x14ac:dyDescent="0.25">
      <c r="A127" s="91">
        <v>5801</v>
      </c>
      <c r="B127" s="31">
        <f t="shared" si="4"/>
        <v>19667.5</v>
      </c>
      <c r="C127" s="31">
        <v>59367.5</v>
      </c>
      <c r="D127">
        <v>1275</v>
      </c>
      <c r="E127" s="97">
        <f>[4]EvapRates!$D$16*'FlamingGorge-Elevation-Area'!D127</f>
        <v>2677.4999999999995</v>
      </c>
      <c r="F127" s="3">
        <v>123</v>
      </c>
      <c r="H127" s="98">
        <f t="shared" si="3"/>
        <v>59367.5</v>
      </c>
      <c r="I127" s="99">
        <f t="shared" si="2"/>
        <v>5801</v>
      </c>
      <c r="J127">
        <v>59367.5</v>
      </c>
    </row>
    <row r="128" spans="1:10" x14ac:dyDescent="0.25">
      <c r="A128" s="91">
        <v>5801.5</v>
      </c>
      <c r="B128" s="31">
        <f t="shared" si="4"/>
        <v>20306.879999999997</v>
      </c>
      <c r="C128" s="31">
        <v>60006.879999999997</v>
      </c>
      <c r="D128">
        <v>1282.5</v>
      </c>
      <c r="E128" s="97">
        <f>[4]EvapRates!$D$16*'FlamingGorge-Elevation-Area'!D128</f>
        <v>2693.2499999999995</v>
      </c>
      <c r="F128" s="3">
        <v>124</v>
      </c>
      <c r="H128" s="98">
        <f t="shared" si="3"/>
        <v>60006.879999999997</v>
      </c>
      <c r="I128" s="99">
        <f t="shared" si="2"/>
        <v>5801.5</v>
      </c>
      <c r="J128">
        <v>60006.879999999997</v>
      </c>
    </row>
    <row r="129" spans="1:10" x14ac:dyDescent="0.25">
      <c r="A129" s="91">
        <v>5802</v>
      </c>
      <c r="B129" s="31">
        <f t="shared" si="4"/>
        <v>20950</v>
      </c>
      <c r="C129" s="31">
        <v>60650</v>
      </c>
      <c r="D129">
        <v>1290</v>
      </c>
      <c r="E129" s="97">
        <f>[4]EvapRates!$D$16*'FlamingGorge-Elevation-Area'!D129</f>
        <v>2708.9999999999995</v>
      </c>
      <c r="F129" s="3">
        <v>125</v>
      </c>
      <c r="H129" s="98">
        <f t="shared" si="3"/>
        <v>60650</v>
      </c>
      <c r="I129" s="99">
        <f t="shared" si="2"/>
        <v>5802</v>
      </c>
      <c r="J129">
        <v>60650</v>
      </c>
    </row>
    <row r="130" spans="1:10" x14ac:dyDescent="0.25">
      <c r="A130" s="91">
        <v>5802.5</v>
      </c>
      <c r="B130" s="31">
        <f t="shared" si="4"/>
        <v>21596.879999999997</v>
      </c>
      <c r="C130" s="31">
        <v>61296.88</v>
      </c>
      <c r="D130">
        <v>1297.5</v>
      </c>
      <c r="E130" s="97">
        <f>[4]EvapRates!$D$16*'FlamingGorge-Elevation-Area'!D130</f>
        <v>2724.7499999999995</v>
      </c>
      <c r="F130" s="3">
        <v>126</v>
      </c>
      <c r="H130" s="98">
        <f t="shared" si="3"/>
        <v>61296.88</v>
      </c>
      <c r="I130" s="99">
        <f t="shared" si="2"/>
        <v>5802.5</v>
      </c>
      <c r="J130">
        <v>61296.88</v>
      </c>
    </row>
    <row r="131" spans="1:10" x14ac:dyDescent="0.25">
      <c r="A131" s="91">
        <v>5803</v>
      </c>
      <c r="B131" s="31">
        <f t="shared" si="4"/>
        <v>22247.5</v>
      </c>
      <c r="C131" s="31">
        <v>61947.5</v>
      </c>
      <c r="D131">
        <v>1305</v>
      </c>
      <c r="E131" s="97">
        <f>[4]EvapRates!$D$16*'FlamingGorge-Elevation-Area'!D131</f>
        <v>2740.4999999999995</v>
      </c>
      <c r="F131" s="3">
        <v>127</v>
      </c>
      <c r="H131" s="98">
        <f t="shared" si="3"/>
        <v>61947.5</v>
      </c>
      <c r="I131" s="99">
        <f t="shared" si="2"/>
        <v>5803</v>
      </c>
      <c r="J131">
        <v>61947.5</v>
      </c>
    </row>
    <row r="132" spans="1:10" x14ac:dyDescent="0.25">
      <c r="A132" s="91">
        <v>5803.5</v>
      </c>
      <c r="B132" s="31">
        <f t="shared" si="4"/>
        <v>22901.879999999997</v>
      </c>
      <c r="C132" s="31">
        <v>62601.88</v>
      </c>
      <c r="D132">
        <v>1312.5</v>
      </c>
      <c r="E132" s="97">
        <f>[4]EvapRates!$D$16*'FlamingGorge-Elevation-Area'!D132</f>
        <v>2756.2499999999995</v>
      </c>
      <c r="F132" s="3">
        <v>128</v>
      </c>
      <c r="H132" s="98">
        <f t="shared" si="3"/>
        <v>62601.88</v>
      </c>
      <c r="I132" s="99">
        <f t="shared" si="2"/>
        <v>5803.5</v>
      </c>
      <c r="J132">
        <v>62601.88</v>
      </c>
    </row>
    <row r="133" spans="1:10" x14ac:dyDescent="0.25">
      <c r="A133" s="91">
        <v>5804</v>
      </c>
      <c r="B133" s="31">
        <f t="shared" si="4"/>
        <v>23560</v>
      </c>
      <c r="C133" s="31">
        <v>63260</v>
      </c>
      <c r="D133">
        <v>1320</v>
      </c>
      <c r="E133" s="97">
        <f>[4]EvapRates!$D$16*'FlamingGorge-Elevation-Area'!D133</f>
        <v>2771.9999999999995</v>
      </c>
      <c r="F133" s="3">
        <v>129</v>
      </c>
      <c r="H133" s="98">
        <f t="shared" si="3"/>
        <v>63260</v>
      </c>
      <c r="I133" s="99">
        <f t="shared" ref="I133:I196" si="5">A133</f>
        <v>5804</v>
      </c>
      <c r="J133">
        <v>63260</v>
      </c>
    </row>
    <row r="134" spans="1:10" x14ac:dyDescent="0.25">
      <c r="A134" s="91">
        <v>5804.5</v>
      </c>
      <c r="B134" s="31">
        <f t="shared" si="4"/>
        <v>24221.879999999997</v>
      </c>
      <c r="C134" s="31">
        <v>63921.88</v>
      </c>
      <c r="D134">
        <v>1327.5</v>
      </c>
      <c r="E134" s="97">
        <f>[4]EvapRates!$D$16*'FlamingGorge-Elevation-Area'!D134</f>
        <v>2787.7499999999995</v>
      </c>
      <c r="F134" s="3">
        <v>130</v>
      </c>
      <c r="H134" s="98">
        <f t="shared" ref="H134:H197" si="6">C134</f>
        <v>63921.88</v>
      </c>
      <c r="I134" s="99">
        <f t="shared" si="5"/>
        <v>5804.5</v>
      </c>
      <c r="J134">
        <v>63921.88</v>
      </c>
    </row>
    <row r="135" spans="1:10" x14ac:dyDescent="0.25">
      <c r="A135" s="91">
        <v>5805</v>
      </c>
      <c r="B135" s="31">
        <f t="shared" si="4"/>
        <v>24887.5</v>
      </c>
      <c r="C135" s="31">
        <v>64587.5</v>
      </c>
      <c r="D135">
        <v>1335</v>
      </c>
      <c r="E135" s="97">
        <f>[4]EvapRates!$D$16*'FlamingGorge-Elevation-Area'!D135</f>
        <v>2803.4999999999995</v>
      </c>
      <c r="F135" s="3">
        <v>131</v>
      </c>
      <c r="H135" s="98">
        <f t="shared" si="6"/>
        <v>64587.5</v>
      </c>
      <c r="I135" s="99">
        <f t="shared" si="5"/>
        <v>5805</v>
      </c>
      <c r="J135">
        <v>64587.5</v>
      </c>
    </row>
    <row r="136" spans="1:10" x14ac:dyDescent="0.25">
      <c r="A136" s="91">
        <v>5805.5</v>
      </c>
      <c r="B136" s="31">
        <f t="shared" si="4"/>
        <v>25556.879999999997</v>
      </c>
      <c r="C136" s="31">
        <v>65256.88</v>
      </c>
      <c r="D136">
        <v>1342.5</v>
      </c>
      <c r="E136" s="97">
        <f>[4]EvapRates!$D$16*'FlamingGorge-Elevation-Area'!D136</f>
        <v>2819.2499999999995</v>
      </c>
      <c r="F136" s="3">
        <v>132</v>
      </c>
      <c r="H136" s="98">
        <f t="shared" si="6"/>
        <v>65256.88</v>
      </c>
      <c r="I136" s="99">
        <f t="shared" si="5"/>
        <v>5805.5</v>
      </c>
      <c r="J136">
        <v>65256.88</v>
      </c>
    </row>
    <row r="137" spans="1:10" x14ac:dyDescent="0.25">
      <c r="A137" s="91">
        <v>5806</v>
      </c>
      <c r="B137" s="31">
        <f t="shared" si="4"/>
        <v>26230</v>
      </c>
      <c r="C137" s="31">
        <v>65930</v>
      </c>
      <c r="D137">
        <v>1350</v>
      </c>
      <c r="E137" s="97">
        <f>[4]EvapRates!$D$16*'FlamingGorge-Elevation-Area'!D137</f>
        <v>2834.9999999999995</v>
      </c>
      <c r="F137" s="3">
        <v>133</v>
      </c>
      <c r="H137" s="98">
        <f t="shared" si="6"/>
        <v>65930</v>
      </c>
      <c r="I137" s="99">
        <f t="shared" si="5"/>
        <v>5806</v>
      </c>
      <c r="J137">
        <v>65930</v>
      </c>
    </row>
    <row r="138" spans="1:10" x14ac:dyDescent="0.25">
      <c r="A138" s="91">
        <v>5806.5</v>
      </c>
      <c r="B138" s="31">
        <f t="shared" si="4"/>
        <v>26906.880000000005</v>
      </c>
      <c r="C138" s="31">
        <v>66606.880000000005</v>
      </c>
      <c r="D138">
        <v>1357.5</v>
      </c>
      <c r="E138" s="97">
        <f>[4]EvapRates!$D$16*'FlamingGorge-Elevation-Area'!D138</f>
        <v>2850.7499999999995</v>
      </c>
      <c r="F138" s="3">
        <v>134</v>
      </c>
      <c r="H138" s="98">
        <f t="shared" si="6"/>
        <v>66606.880000000005</v>
      </c>
      <c r="I138" s="99">
        <f t="shared" si="5"/>
        <v>5806.5</v>
      </c>
      <c r="J138">
        <v>66606.880000000005</v>
      </c>
    </row>
    <row r="139" spans="1:10" x14ac:dyDescent="0.25">
      <c r="A139" s="91">
        <v>5807</v>
      </c>
      <c r="B139" s="31">
        <f t="shared" si="4"/>
        <v>27587.5</v>
      </c>
      <c r="C139" s="31">
        <v>67287.5</v>
      </c>
      <c r="D139">
        <v>1365</v>
      </c>
      <c r="E139" s="97">
        <f>[4]EvapRates!$D$16*'FlamingGorge-Elevation-Area'!D139</f>
        <v>2866.4999999999995</v>
      </c>
      <c r="F139" s="3">
        <v>135</v>
      </c>
      <c r="H139" s="98">
        <f t="shared" si="6"/>
        <v>67287.5</v>
      </c>
      <c r="I139" s="99">
        <f t="shared" si="5"/>
        <v>5807</v>
      </c>
      <c r="J139">
        <v>67287.5</v>
      </c>
    </row>
    <row r="140" spans="1:10" x14ac:dyDescent="0.25">
      <c r="A140" s="91">
        <v>5807.5</v>
      </c>
      <c r="B140" s="31">
        <f t="shared" si="4"/>
        <v>28271.880000000005</v>
      </c>
      <c r="C140" s="31">
        <v>67971.88</v>
      </c>
      <c r="D140">
        <v>1372.5</v>
      </c>
      <c r="E140" s="97">
        <f>[4]EvapRates!$D$16*'FlamingGorge-Elevation-Area'!D140</f>
        <v>2882.2499999999995</v>
      </c>
      <c r="F140" s="3">
        <v>136</v>
      </c>
      <c r="H140" s="98">
        <f t="shared" si="6"/>
        <v>67971.88</v>
      </c>
      <c r="I140" s="99">
        <f t="shared" si="5"/>
        <v>5807.5</v>
      </c>
      <c r="J140">
        <v>67971.88</v>
      </c>
    </row>
    <row r="141" spans="1:10" x14ac:dyDescent="0.25">
      <c r="A141" s="91">
        <v>5808</v>
      </c>
      <c r="B141" s="31">
        <f t="shared" si="4"/>
        <v>28960</v>
      </c>
      <c r="C141" s="31">
        <v>68660</v>
      </c>
      <c r="D141">
        <v>1380</v>
      </c>
      <c r="E141" s="97">
        <f>[4]EvapRates!$D$16*'FlamingGorge-Elevation-Area'!D141</f>
        <v>2897.9999999999995</v>
      </c>
      <c r="F141" s="3">
        <v>137</v>
      </c>
      <c r="H141" s="98">
        <f t="shared" si="6"/>
        <v>68660</v>
      </c>
      <c r="I141" s="99">
        <f t="shared" si="5"/>
        <v>5808</v>
      </c>
      <c r="J141">
        <v>68660</v>
      </c>
    </row>
    <row r="142" spans="1:10" x14ac:dyDescent="0.25">
      <c r="A142" s="91">
        <v>5808.5</v>
      </c>
      <c r="B142" s="31">
        <f t="shared" si="4"/>
        <v>29651.880000000005</v>
      </c>
      <c r="C142" s="31">
        <v>69351.88</v>
      </c>
      <c r="D142">
        <v>1387.5</v>
      </c>
      <c r="E142" s="97">
        <f>[4]EvapRates!$D$16*'FlamingGorge-Elevation-Area'!D142</f>
        <v>2913.7499999999995</v>
      </c>
      <c r="F142" s="3">
        <v>138</v>
      </c>
      <c r="H142" s="98">
        <f t="shared" si="6"/>
        <v>69351.88</v>
      </c>
      <c r="I142" s="99">
        <f t="shared" si="5"/>
        <v>5808.5</v>
      </c>
      <c r="J142">
        <v>69351.88</v>
      </c>
    </row>
    <row r="143" spans="1:10" x14ac:dyDescent="0.25">
      <c r="A143" s="91">
        <v>5809</v>
      </c>
      <c r="B143" s="31">
        <f t="shared" si="4"/>
        <v>30347.5</v>
      </c>
      <c r="C143" s="31">
        <v>70047.5</v>
      </c>
      <c r="D143">
        <v>1395</v>
      </c>
      <c r="E143" s="97">
        <f>[4]EvapRates!$D$16*'FlamingGorge-Elevation-Area'!D143</f>
        <v>2929.4999999999995</v>
      </c>
      <c r="F143" s="3">
        <v>139</v>
      </c>
      <c r="H143" s="98">
        <f t="shared" si="6"/>
        <v>70047.5</v>
      </c>
      <c r="I143" s="99">
        <f t="shared" si="5"/>
        <v>5809</v>
      </c>
      <c r="J143">
        <v>70047.5</v>
      </c>
    </row>
    <row r="144" spans="1:10" x14ac:dyDescent="0.25">
      <c r="A144" s="91">
        <v>5809.5</v>
      </c>
      <c r="B144" s="31">
        <f t="shared" si="4"/>
        <v>31046.880000000005</v>
      </c>
      <c r="C144" s="31">
        <v>70746.880000000005</v>
      </c>
      <c r="D144">
        <v>1402.5</v>
      </c>
      <c r="E144" s="97">
        <f>[4]EvapRates!$D$16*'FlamingGorge-Elevation-Area'!D144</f>
        <v>2945.2499999999995</v>
      </c>
      <c r="F144" s="3">
        <v>140</v>
      </c>
      <c r="H144" s="98">
        <f t="shared" si="6"/>
        <v>70746.880000000005</v>
      </c>
      <c r="I144" s="99">
        <f t="shared" si="5"/>
        <v>5809.5</v>
      </c>
      <c r="J144">
        <v>70746.880000000005</v>
      </c>
    </row>
    <row r="145" spans="1:10" x14ac:dyDescent="0.25">
      <c r="A145" s="91">
        <v>5810</v>
      </c>
      <c r="B145" s="31">
        <f t="shared" si="4"/>
        <v>31750</v>
      </c>
      <c r="C145" s="31">
        <v>71450</v>
      </c>
      <c r="D145">
        <v>1410</v>
      </c>
      <c r="E145" s="97">
        <f>[4]EvapRates!$D$16*'FlamingGorge-Elevation-Area'!D145</f>
        <v>2960.9999999999995</v>
      </c>
      <c r="F145" s="3">
        <v>141</v>
      </c>
      <c r="H145" s="98">
        <f t="shared" si="6"/>
        <v>71450</v>
      </c>
      <c r="I145" s="99">
        <f t="shared" si="5"/>
        <v>5810</v>
      </c>
      <c r="J145">
        <v>71450</v>
      </c>
    </row>
    <row r="146" spans="1:10" x14ac:dyDescent="0.25">
      <c r="A146" s="91">
        <v>5810.5</v>
      </c>
      <c r="B146" s="31">
        <f t="shared" si="4"/>
        <v>32456.630000000005</v>
      </c>
      <c r="C146" s="31">
        <v>72156.63</v>
      </c>
      <c r="D146">
        <v>1416.5</v>
      </c>
      <c r="E146" s="97">
        <f>[4]EvapRates!$D$16*'FlamingGorge-Elevation-Area'!D146</f>
        <v>2974.6499999999996</v>
      </c>
      <c r="F146" s="3">
        <v>142</v>
      </c>
      <c r="H146" s="98">
        <f t="shared" si="6"/>
        <v>72156.63</v>
      </c>
      <c r="I146" s="99">
        <f t="shared" si="5"/>
        <v>5810.5</v>
      </c>
      <c r="J146">
        <v>72156.63</v>
      </c>
    </row>
    <row r="147" spans="1:10" x14ac:dyDescent="0.25">
      <c r="A147" s="91">
        <v>5811</v>
      </c>
      <c r="B147" s="31">
        <f t="shared" si="4"/>
        <v>33166.5</v>
      </c>
      <c r="C147" s="31">
        <v>72866.5</v>
      </c>
      <c r="D147">
        <v>1423</v>
      </c>
      <c r="E147" s="97">
        <f>[4]EvapRates!$D$16*'FlamingGorge-Elevation-Area'!D147</f>
        <v>2988.2999999999993</v>
      </c>
      <c r="F147" s="3">
        <v>143</v>
      </c>
      <c r="H147" s="98">
        <f t="shared" si="6"/>
        <v>72866.5</v>
      </c>
      <c r="I147" s="99">
        <f t="shared" si="5"/>
        <v>5811</v>
      </c>
      <c r="J147">
        <v>72866.5</v>
      </c>
    </row>
    <row r="148" spans="1:10" x14ac:dyDescent="0.25">
      <c r="A148" s="91">
        <v>5811.5</v>
      </c>
      <c r="B148" s="31">
        <f t="shared" si="4"/>
        <v>33879.630000000005</v>
      </c>
      <c r="C148" s="31">
        <v>73579.63</v>
      </c>
      <c r="D148">
        <v>1429.5</v>
      </c>
      <c r="E148" s="97">
        <f>[4]EvapRates!$D$16*'FlamingGorge-Elevation-Area'!D148</f>
        <v>3001.9499999999994</v>
      </c>
      <c r="F148" s="3">
        <v>144</v>
      </c>
      <c r="H148" s="98">
        <f t="shared" si="6"/>
        <v>73579.63</v>
      </c>
      <c r="I148" s="99">
        <f t="shared" si="5"/>
        <v>5811.5</v>
      </c>
      <c r="J148">
        <v>73579.63</v>
      </c>
    </row>
    <row r="149" spans="1:10" x14ac:dyDescent="0.25">
      <c r="A149" s="91">
        <v>5812</v>
      </c>
      <c r="B149" s="31">
        <f t="shared" si="4"/>
        <v>34596</v>
      </c>
      <c r="C149" s="31">
        <v>74296</v>
      </c>
      <c r="D149">
        <v>1436</v>
      </c>
      <c r="E149" s="97">
        <f>[4]EvapRates!$D$16*'FlamingGorge-Elevation-Area'!D149</f>
        <v>3015.5999999999995</v>
      </c>
      <c r="F149" s="3">
        <v>145</v>
      </c>
      <c r="H149" s="98">
        <f t="shared" si="6"/>
        <v>74296</v>
      </c>
      <c r="I149" s="99">
        <f t="shared" si="5"/>
        <v>5812</v>
      </c>
      <c r="J149">
        <v>74296</v>
      </c>
    </row>
    <row r="150" spans="1:10" x14ac:dyDescent="0.25">
      <c r="A150" s="91">
        <v>5812.5</v>
      </c>
      <c r="B150" s="31">
        <f t="shared" si="4"/>
        <v>35315.630000000005</v>
      </c>
      <c r="C150" s="31">
        <v>75015.63</v>
      </c>
      <c r="D150">
        <v>1442.5</v>
      </c>
      <c r="E150" s="97">
        <f>[4]EvapRates!$D$16*'FlamingGorge-Elevation-Area'!D150</f>
        <v>3029.2499999999995</v>
      </c>
      <c r="F150" s="3">
        <v>146</v>
      </c>
      <c r="H150" s="98">
        <f t="shared" si="6"/>
        <v>75015.63</v>
      </c>
      <c r="I150" s="99">
        <f t="shared" si="5"/>
        <v>5812.5</v>
      </c>
      <c r="J150">
        <v>75015.63</v>
      </c>
    </row>
    <row r="151" spans="1:10" x14ac:dyDescent="0.25">
      <c r="A151" s="91">
        <v>5813</v>
      </c>
      <c r="B151" s="31">
        <f t="shared" si="4"/>
        <v>36038.5</v>
      </c>
      <c r="C151" s="31">
        <v>75738.5</v>
      </c>
      <c r="D151">
        <v>1449</v>
      </c>
      <c r="E151" s="97">
        <f>[4]EvapRates!$D$16*'FlamingGorge-Elevation-Area'!D151</f>
        <v>3042.8999999999996</v>
      </c>
      <c r="F151" s="3">
        <v>147</v>
      </c>
      <c r="H151" s="98">
        <f t="shared" si="6"/>
        <v>75738.5</v>
      </c>
      <c r="I151" s="99">
        <f t="shared" si="5"/>
        <v>5813</v>
      </c>
      <c r="J151">
        <v>75738.5</v>
      </c>
    </row>
    <row r="152" spans="1:10" x14ac:dyDescent="0.25">
      <c r="A152" s="91">
        <v>5813.5</v>
      </c>
      <c r="B152" s="31">
        <f t="shared" si="4"/>
        <v>36764.630000000005</v>
      </c>
      <c r="C152" s="31">
        <v>76464.63</v>
      </c>
      <c r="D152">
        <v>1455.5</v>
      </c>
      <c r="E152" s="97">
        <f>[4]EvapRates!$D$16*'FlamingGorge-Elevation-Area'!D152</f>
        <v>3056.5499999999993</v>
      </c>
      <c r="F152" s="3">
        <v>148</v>
      </c>
      <c r="H152" s="98">
        <f t="shared" si="6"/>
        <v>76464.63</v>
      </c>
      <c r="I152" s="99">
        <f t="shared" si="5"/>
        <v>5813.5</v>
      </c>
      <c r="J152">
        <v>76464.63</v>
      </c>
    </row>
    <row r="153" spans="1:10" x14ac:dyDescent="0.25">
      <c r="A153" s="91">
        <v>5814</v>
      </c>
      <c r="B153" s="31">
        <f t="shared" si="4"/>
        <v>37494</v>
      </c>
      <c r="C153" s="31">
        <v>77194</v>
      </c>
      <c r="D153">
        <v>1462</v>
      </c>
      <c r="E153" s="97">
        <f>[4]EvapRates!$D$16*'FlamingGorge-Elevation-Area'!D153</f>
        <v>3070.1999999999994</v>
      </c>
      <c r="F153" s="3">
        <v>149</v>
      </c>
      <c r="H153" s="98">
        <f t="shared" si="6"/>
        <v>77194</v>
      </c>
      <c r="I153" s="99">
        <f t="shared" si="5"/>
        <v>5814</v>
      </c>
      <c r="J153">
        <v>77194</v>
      </c>
    </row>
    <row r="154" spans="1:10" x14ac:dyDescent="0.25">
      <c r="A154" s="91">
        <v>5814.5</v>
      </c>
      <c r="B154" s="31">
        <f t="shared" si="4"/>
        <v>38226.630000000005</v>
      </c>
      <c r="C154" s="31">
        <v>77926.63</v>
      </c>
      <c r="D154">
        <v>1468.5</v>
      </c>
      <c r="E154" s="97">
        <f>[4]EvapRates!$D$16*'FlamingGorge-Elevation-Area'!D154</f>
        <v>3083.8499999999995</v>
      </c>
      <c r="F154" s="3">
        <v>150</v>
      </c>
      <c r="H154" s="98">
        <f t="shared" si="6"/>
        <v>77926.63</v>
      </c>
      <c r="I154" s="99">
        <f t="shared" si="5"/>
        <v>5814.5</v>
      </c>
      <c r="J154">
        <v>77926.63</v>
      </c>
    </row>
    <row r="155" spans="1:10" x14ac:dyDescent="0.25">
      <c r="A155" s="91">
        <v>5815</v>
      </c>
      <c r="B155" s="31">
        <f t="shared" si="4"/>
        <v>38962.5</v>
      </c>
      <c r="C155" s="31">
        <v>78662.5</v>
      </c>
      <c r="D155">
        <v>1475</v>
      </c>
      <c r="E155" s="97">
        <f>[4]EvapRates!$D$16*'FlamingGorge-Elevation-Area'!D155</f>
        <v>3097.4999999999995</v>
      </c>
      <c r="F155" s="3">
        <v>151</v>
      </c>
      <c r="H155" s="98">
        <f t="shared" si="6"/>
        <v>78662.5</v>
      </c>
      <c r="I155" s="99">
        <f t="shared" si="5"/>
        <v>5815</v>
      </c>
      <c r="J155">
        <v>78662.5</v>
      </c>
    </row>
    <row r="156" spans="1:10" x14ac:dyDescent="0.25">
      <c r="A156" s="91">
        <v>5815.5</v>
      </c>
      <c r="B156" s="31">
        <f t="shared" si="4"/>
        <v>39701.630000000005</v>
      </c>
      <c r="C156" s="31">
        <v>79401.63</v>
      </c>
      <c r="D156">
        <v>1481.5</v>
      </c>
      <c r="E156" s="97">
        <f>[4]EvapRates!$D$16*'FlamingGorge-Elevation-Area'!D156</f>
        <v>3111.1499999999996</v>
      </c>
      <c r="F156" s="3">
        <v>152</v>
      </c>
      <c r="H156" s="98">
        <f t="shared" si="6"/>
        <v>79401.63</v>
      </c>
      <c r="I156" s="99">
        <f t="shared" si="5"/>
        <v>5815.5</v>
      </c>
      <c r="J156">
        <v>79401.63</v>
      </c>
    </row>
    <row r="157" spans="1:10" x14ac:dyDescent="0.25">
      <c r="A157" s="91">
        <v>5816</v>
      </c>
      <c r="B157" s="31">
        <f t="shared" si="4"/>
        <v>40444</v>
      </c>
      <c r="C157" s="31">
        <v>80144</v>
      </c>
      <c r="D157">
        <v>1488</v>
      </c>
      <c r="E157" s="97">
        <f>[4]EvapRates!$D$16*'FlamingGorge-Elevation-Area'!D157</f>
        <v>3124.7999999999993</v>
      </c>
      <c r="F157" s="3">
        <v>153</v>
      </c>
      <c r="H157" s="98">
        <f t="shared" si="6"/>
        <v>80144</v>
      </c>
      <c r="I157" s="99">
        <f t="shared" si="5"/>
        <v>5816</v>
      </c>
      <c r="J157">
        <v>80144</v>
      </c>
    </row>
    <row r="158" spans="1:10" x14ac:dyDescent="0.25">
      <c r="A158" s="91">
        <v>5816.5</v>
      </c>
      <c r="B158" s="31">
        <f t="shared" si="4"/>
        <v>41189.630000000005</v>
      </c>
      <c r="C158" s="31">
        <v>80889.63</v>
      </c>
      <c r="D158">
        <v>1494.5</v>
      </c>
      <c r="E158" s="97">
        <f>[4]EvapRates!$D$16*'FlamingGorge-Elevation-Area'!D158</f>
        <v>3138.4499999999994</v>
      </c>
      <c r="F158" s="3">
        <v>154</v>
      </c>
      <c r="H158" s="98">
        <f t="shared" si="6"/>
        <v>80889.63</v>
      </c>
      <c r="I158" s="99">
        <f t="shared" si="5"/>
        <v>5816.5</v>
      </c>
      <c r="J158">
        <v>80889.63</v>
      </c>
    </row>
    <row r="159" spans="1:10" x14ac:dyDescent="0.25">
      <c r="A159" s="91">
        <v>5817</v>
      </c>
      <c r="B159" s="31">
        <f t="shared" ref="B159:B222" si="7">C159-39700</f>
        <v>41938.5</v>
      </c>
      <c r="C159" s="31">
        <v>81638.5</v>
      </c>
      <c r="D159">
        <v>1501</v>
      </c>
      <c r="E159" s="97">
        <f>[4]EvapRates!$D$16*'FlamingGorge-Elevation-Area'!D159</f>
        <v>3152.0999999999995</v>
      </c>
      <c r="F159" s="3">
        <v>155</v>
      </c>
      <c r="H159" s="98">
        <f t="shared" si="6"/>
        <v>81638.5</v>
      </c>
      <c r="I159" s="99">
        <f t="shared" si="5"/>
        <v>5817</v>
      </c>
      <c r="J159">
        <v>81638.5</v>
      </c>
    </row>
    <row r="160" spans="1:10" x14ac:dyDescent="0.25">
      <c r="A160" s="91">
        <v>5817.5</v>
      </c>
      <c r="B160" s="31">
        <f t="shared" si="7"/>
        <v>42690.630000000005</v>
      </c>
      <c r="C160" s="31">
        <v>82390.63</v>
      </c>
      <c r="D160">
        <v>1507.5</v>
      </c>
      <c r="E160" s="97">
        <f>[4]EvapRates!$D$16*'FlamingGorge-Elevation-Area'!D160</f>
        <v>3165.7499999999995</v>
      </c>
      <c r="F160" s="3">
        <v>156</v>
      </c>
      <c r="H160" s="98">
        <f t="shared" si="6"/>
        <v>82390.63</v>
      </c>
      <c r="I160" s="99">
        <f t="shared" si="5"/>
        <v>5817.5</v>
      </c>
      <c r="J160">
        <v>82390.63</v>
      </c>
    </row>
    <row r="161" spans="1:10" x14ac:dyDescent="0.25">
      <c r="A161" s="91">
        <v>5818</v>
      </c>
      <c r="B161" s="31">
        <f t="shared" si="7"/>
        <v>43446</v>
      </c>
      <c r="C161" s="31">
        <v>83146</v>
      </c>
      <c r="D161">
        <v>1514</v>
      </c>
      <c r="E161" s="97">
        <f>[4]EvapRates!$D$16*'FlamingGorge-Elevation-Area'!D161</f>
        <v>3179.3999999999996</v>
      </c>
      <c r="F161" s="3">
        <v>157</v>
      </c>
      <c r="H161" s="98">
        <f t="shared" si="6"/>
        <v>83146</v>
      </c>
      <c r="I161" s="99">
        <f t="shared" si="5"/>
        <v>5818</v>
      </c>
      <c r="J161">
        <v>83146</v>
      </c>
    </row>
    <row r="162" spans="1:10" x14ac:dyDescent="0.25">
      <c r="A162" s="91">
        <v>5818.5</v>
      </c>
      <c r="B162" s="31">
        <f t="shared" si="7"/>
        <v>44204.630000000005</v>
      </c>
      <c r="C162" s="31">
        <v>83904.63</v>
      </c>
      <c r="D162">
        <v>1520.5</v>
      </c>
      <c r="E162" s="97">
        <f>[4]EvapRates!$D$16*'FlamingGorge-Elevation-Area'!D162</f>
        <v>3193.0499999999993</v>
      </c>
      <c r="F162" s="3">
        <v>158</v>
      </c>
      <c r="H162" s="98">
        <f t="shared" si="6"/>
        <v>83904.63</v>
      </c>
      <c r="I162" s="99">
        <f t="shared" si="5"/>
        <v>5818.5</v>
      </c>
      <c r="J162">
        <v>83904.63</v>
      </c>
    </row>
    <row r="163" spans="1:10" x14ac:dyDescent="0.25">
      <c r="A163" s="91">
        <v>5819</v>
      </c>
      <c r="B163" s="31">
        <f t="shared" si="7"/>
        <v>44966.5</v>
      </c>
      <c r="C163" s="31">
        <v>84666.5</v>
      </c>
      <c r="D163">
        <v>1527</v>
      </c>
      <c r="E163" s="97">
        <f>[4]EvapRates!$D$16*'FlamingGorge-Elevation-Area'!D163</f>
        <v>3206.6999999999994</v>
      </c>
      <c r="F163" s="3">
        <v>159</v>
      </c>
      <c r="H163" s="98">
        <f t="shared" si="6"/>
        <v>84666.5</v>
      </c>
      <c r="I163" s="99">
        <f t="shared" si="5"/>
        <v>5819</v>
      </c>
      <c r="J163">
        <v>84666.5</v>
      </c>
    </row>
    <row r="164" spans="1:10" x14ac:dyDescent="0.25">
      <c r="A164" s="91">
        <v>5819.5</v>
      </c>
      <c r="B164" s="31">
        <f t="shared" si="7"/>
        <v>45731.630000000005</v>
      </c>
      <c r="C164" s="31">
        <v>85431.63</v>
      </c>
      <c r="D164">
        <v>1533.5</v>
      </c>
      <c r="E164" s="97">
        <f>[4]EvapRates!$D$16*'FlamingGorge-Elevation-Area'!D164</f>
        <v>3220.3499999999995</v>
      </c>
      <c r="F164" s="3">
        <v>160</v>
      </c>
      <c r="H164" s="98">
        <f t="shared" si="6"/>
        <v>85431.63</v>
      </c>
      <c r="I164" s="99">
        <f t="shared" si="5"/>
        <v>5819.5</v>
      </c>
      <c r="J164">
        <v>85431.63</v>
      </c>
    </row>
    <row r="165" spans="1:10" x14ac:dyDescent="0.25">
      <c r="A165" s="91">
        <v>5820</v>
      </c>
      <c r="B165" s="31">
        <f t="shared" si="7"/>
        <v>46500</v>
      </c>
      <c r="C165" s="31">
        <v>86200</v>
      </c>
      <c r="D165">
        <v>1540</v>
      </c>
      <c r="E165" s="97">
        <f>[4]EvapRates!$D$16*'FlamingGorge-Elevation-Area'!D165</f>
        <v>3233.9999999999995</v>
      </c>
      <c r="F165" s="3">
        <v>161</v>
      </c>
      <c r="H165" s="98">
        <f t="shared" si="6"/>
        <v>86200</v>
      </c>
      <c r="I165" s="99">
        <f t="shared" si="5"/>
        <v>5820</v>
      </c>
      <c r="J165">
        <v>86200</v>
      </c>
    </row>
    <row r="166" spans="1:10" x14ac:dyDescent="0.25">
      <c r="A166" s="91">
        <v>5820.5</v>
      </c>
      <c r="B166" s="31">
        <f t="shared" si="7"/>
        <v>47272.630000000005</v>
      </c>
      <c r="C166" s="31">
        <v>86972.63</v>
      </c>
      <c r="D166">
        <v>1550.5</v>
      </c>
      <c r="E166" s="97">
        <f>[4]EvapRates!$D$16*'FlamingGorge-Elevation-Area'!D166</f>
        <v>3256.0499999999993</v>
      </c>
      <c r="F166" s="3">
        <v>162</v>
      </c>
      <c r="H166" s="98">
        <f t="shared" si="6"/>
        <v>86972.63</v>
      </c>
      <c r="I166" s="99">
        <f t="shared" si="5"/>
        <v>5820.5</v>
      </c>
      <c r="J166">
        <v>86972.63</v>
      </c>
    </row>
    <row r="167" spans="1:10" x14ac:dyDescent="0.25">
      <c r="A167" s="91">
        <v>5821</v>
      </c>
      <c r="B167" s="31">
        <f t="shared" si="7"/>
        <v>48050.5</v>
      </c>
      <c r="C167" s="31">
        <v>87750.5</v>
      </c>
      <c r="D167">
        <v>1561</v>
      </c>
      <c r="E167" s="97">
        <f>[4]EvapRates!$D$16*'FlamingGorge-Elevation-Area'!D167</f>
        <v>3278.0999999999995</v>
      </c>
      <c r="F167" s="3">
        <v>163</v>
      </c>
      <c r="H167" s="98">
        <f t="shared" si="6"/>
        <v>87750.5</v>
      </c>
      <c r="I167" s="99">
        <f t="shared" si="5"/>
        <v>5821</v>
      </c>
      <c r="J167">
        <v>87750.5</v>
      </c>
    </row>
    <row r="168" spans="1:10" x14ac:dyDescent="0.25">
      <c r="A168" s="91">
        <v>5821.5</v>
      </c>
      <c r="B168" s="31">
        <f t="shared" si="7"/>
        <v>48833.630000000005</v>
      </c>
      <c r="C168" s="31">
        <v>88533.63</v>
      </c>
      <c r="D168">
        <v>1571.5</v>
      </c>
      <c r="E168" s="97">
        <f>[4]EvapRates!$D$16*'FlamingGorge-Elevation-Area'!D168</f>
        <v>3300.1499999999996</v>
      </c>
      <c r="F168" s="3">
        <v>164</v>
      </c>
      <c r="H168" s="98">
        <f t="shared" si="6"/>
        <v>88533.63</v>
      </c>
      <c r="I168" s="99">
        <f t="shared" si="5"/>
        <v>5821.5</v>
      </c>
      <c r="J168">
        <v>88533.63</v>
      </c>
    </row>
    <row r="169" spans="1:10" x14ac:dyDescent="0.25">
      <c r="A169" s="91">
        <v>5822</v>
      </c>
      <c r="B169" s="31">
        <f t="shared" si="7"/>
        <v>49622</v>
      </c>
      <c r="C169" s="31">
        <v>89322</v>
      </c>
      <c r="D169">
        <v>1582</v>
      </c>
      <c r="E169" s="97">
        <f>[4]EvapRates!$D$16*'FlamingGorge-Elevation-Area'!D169</f>
        <v>3322.1999999999994</v>
      </c>
      <c r="F169" s="3">
        <v>165</v>
      </c>
      <c r="H169" s="98">
        <f t="shared" si="6"/>
        <v>89322</v>
      </c>
      <c r="I169" s="99">
        <f t="shared" si="5"/>
        <v>5822</v>
      </c>
      <c r="J169">
        <v>89322</v>
      </c>
    </row>
    <row r="170" spans="1:10" x14ac:dyDescent="0.25">
      <c r="A170" s="91">
        <v>5822.5</v>
      </c>
      <c r="B170" s="31">
        <f t="shared" si="7"/>
        <v>50415.630000000005</v>
      </c>
      <c r="C170" s="31">
        <v>90115.63</v>
      </c>
      <c r="D170">
        <v>1592.5</v>
      </c>
      <c r="E170" s="97">
        <f>[4]EvapRates!$D$16*'FlamingGorge-Elevation-Area'!D170</f>
        <v>3344.2499999999995</v>
      </c>
      <c r="F170" s="3">
        <v>166</v>
      </c>
      <c r="H170" s="98">
        <f t="shared" si="6"/>
        <v>90115.63</v>
      </c>
      <c r="I170" s="99">
        <f t="shared" si="5"/>
        <v>5822.5</v>
      </c>
      <c r="J170">
        <v>90115.63</v>
      </c>
    </row>
    <row r="171" spans="1:10" x14ac:dyDescent="0.25">
      <c r="A171" s="91">
        <v>5823</v>
      </c>
      <c r="B171" s="31">
        <f t="shared" si="7"/>
        <v>51214.5</v>
      </c>
      <c r="C171" s="31">
        <v>90914.5</v>
      </c>
      <c r="D171">
        <v>1603</v>
      </c>
      <c r="E171" s="97">
        <f>[4]EvapRates!$D$16*'FlamingGorge-Elevation-Area'!D171</f>
        <v>3366.2999999999993</v>
      </c>
      <c r="F171" s="3">
        <v>167</v>
      </c>
      <c r="H171" s="98">
        <f t="shared" si="6"/>
        <v>90914.5</v>
      </c>
      <c r="I171" s="99">
        <f t="shared" si="5"/>
        <v>5823</v>
      </c>
      <c r="J171">
        <v>90914.5</v>
      </c>
    </row>
    <row r="172" spans="1:10" x14ac:dyDescent="0.25">
      <c r="A172" s="91">
        <v>5823.5</v>
      </c>
      <c r="B172" s="31">
        <f t="shared" si="7"/>
        <v>52018.630000000005</v>
      </c>
      <c r="C172" s="31">
        <v>91718.63</v>
      </c>
      <c r="D172">
        <v>1613.5</v>
      </c>
      <c r="E172" s="97">
        <f>[4]EvapRates!$D$16*'FlamingGorge-Elevation-Area'!D172</f>
        <v>3388.3499999999995</v>
      </c>
      <c r="F172" s="3">
        <v>168</v>
      </c>
      <c r="H172" s="98">
        <f t="shared" si="6"/>
        <v>91718.63</v>
      </c>
      <c r="I172" s="99">
        <f t="shared" si="5"/>
        <v>5823.5</v>
      </c>
      <c r="J172">
        <v>91718.63</v>
      </c>
    </row>
    <row r="173" spans="1:10" x14ac:dyDescent="0.25">
      <c r="A173" s="91">
        <v>5824</v>
      </c>
      <c r="B173" s="31">
        <f t="shared" si="7"/>
        <v>52828</v>
      </c>
      <c r="C173" s="31">
        <v>92528</v>
      </c>
      <c r="D173">
        <v>1624</v>
      </c>
      <c r="E173" s="97">
        <f>[4]EvapRates!$D$16*'FlamingGorge-Elevation-Area'!D173</f>
        <v>3410.3999999999996</v>
      </c>
      <c r="F173" s="3">
        <v>169</v>
      </c>
      <c r="H173" s="98">
        <f t="shared" si="6"/>
        <v>92528</v>
      </c>
      <c r="I173" s="99">
        <f t="shared" si="5"/>
        <v>5824</v>
      </c>
      <c r="J173">
        <v>92528</v>
      </c>
    </row>
    <row r="174" spans="1:10" x14ac:dyDescent="0.25">
      <c r="A174" s="91">
        <v>5824.5</v>
      </c>
      <c r="B174" s="31">
        <f t="shared" si="7"/>
        <v>53642.630000000005</v>
      </c>
      <c r="C174" s="31">
        <v>93342.63</v>
      </c>
      <c r="D174">
        <v>1634.5</v>
      </c>
      <c r="E174" s="97">
        <f>[4]EvapRates!$D$16*'FlamingGorge-Elevation-Area'!D174</f>
        <v>3432.4499999999994</v>
      </c>
      <c r="F174" s="3">
        <v>170</v>
      </c>
      <c r="H174" s="98">
        <f t="shared" si="6"/>
        <v>93342.63</v>
      </c>
      <c r="I174" s="99">
        <f t="shared" si="5"/>
        <v>5824.5</v>
      </c>
      <c r="J174">
        <v>93342.63</v>
      </c>
    </row>
    <row r="175" spans="1:10" x14ac:dyDescent="0.25">
      <c r="A175" s="91">
        <v>5825</v>
      </c>
      <c r="B175" s="31">
        <f t="shared" si="7"/>
        <v>54462.5</v>
      </c>
      <c r="C175" s="31">
        <v>94162.5</v>
      </c>
      <c r="D175">
        <v>1645</v>
      </c>
      <c r="E175" s="97">
        <f>[4]EvapRates!$D$16*'FlamingGorge-Elevation-Area'!D175</f>
        <v>3454.4999999999995</v>
      </c>
      <c r="F175" s="3">
        <v>171</v>
      </c>
      <c r="H175" s="98">
        <f t="shared" si="6"/>
        <v>94162.5</v>
      </c>
      <c r="I175" s="99">
        <f t="shared" si="5"/>
        <v>5825</v>
      </c>
      <c r="J175">
        <v>94162.5</v>
      </c>
    </row>
    <row r="176" spans="1:10" x14ac:dyDescent="0.25">
      <c r="A176" s="91">
        <v>5825.5</v>
      </c>
      <c r="B176" s="31">
        <f t="shared" si="7"/>
        <v>55287.630000000005</v>
      </c>
      <c r="C176" s="31">
        <v>94987.63</v>
      </c>
      <c r="D176">
        <v>1655.5</v>
      </c>
      <c r="E176" s="97">
        <f>[4]EvapRates!$D$16*'FlamingGorge-Elevation-Area'!D176</f>
        <v>3476.5499999999993</v>
      </c>
      <c r="F176" s="3">
        <v>172</v>
      </c>
      <c r="H176" s="98">
        <f t="shared" si="6"/>
        <v>94987.63</v>
      </c>
      <c r="I176" s="99">
        <f t="shared" si="5"/>
        <v>5825.5</v>
      </c>
      <c r="J176">
        <v>94987.63</v>
      </c>
    </row>
    <row r="177" spans="1:10" x14ac:dyDescent="0.25">
      <c r="A177" s="91">
        <v>5826</v>
      </c>
      <c r="B177" s="31">
        <f t="shared" si="7"/>
        <v>56118</v>
      </c>
      <c r="C177" s="31">
        <v>95818</v>
      </c>
      <c r="D177">
        <v>1666</v>
      </c>
      <c r="E177" s="97">
        <f>[4]EvapRates!$D$16*'FlamingGorge-Elevation-Area'!D177</f>
        <v>3498.5999999999995</v>
      </c>
      <c r="F177" s="3">
        <v>173</v>
      </c>
      <c r="H177" s="98">
        <f t="shared" si="6"/>
        <v>95818</v>
      </c>
      <c r="I177" s="99">
        <f t="shared" si="5"/>
        <v>5826</v>
      </c>
      <c r="J177">
        <v>95818</v>
      </c>
    </row>
    <row r="178" spans="1:10" x14ac:dyDescent="0.25">
      <c r="A178" s="91">
        <v>5826.5</v>
      </c>
      <c r="B178" s="31">
        <f t="shared" si="7"/>
        <v>56953.630000000005</v>
      </c>
      <c r="C178" s="31">
        <v>96653.63</v>
      </c>
      <c r="D178">
        <v>1676.5</v>
      </c>
      <c r="E178" s="97">
        <f>[4]EvapRates!$D$16*'FlamingGorge-Elevation-Area'!D178</f>
        <v>3520.6499999999992</v>
      </c>
      <c r="F178" s="3">
        <v>174</v>
      </c>
      <c r="H178" s="98">
        <f t="shared" si="6"/>
        <v>96653.63</v>
      </c>
      <c r="I178" s="99">
        <f t="shared" si="5"/>
        <v>5826.5</v>
      </c>
      <c r="J178">
        <v>96653.63</v>
      </c>
    </row>
    <row r="179" spans="1:10" x14ac:dyDescent="0.25">
      <c r="A179" s="91">
        <v>5827</v>
      </c>
      <c r="B179" s="31">
        <f t="shared" si="7"/>
        <v>57794.5</v>
      </c>
      <c r="C179" s="31">
        <v>97494.5</v>
      </c>
      <c r="D179">
        <v>1687</v>
      </c>
      <c r="E179" s="97">
        <f>[4]EvapRates!$D$16*'FlamingGorge-Elevation-Area'!D179</f>
        <v>3542.6999999999994</v>
      </c>
      <c r="F179" s="3">
        <v>175</v>
      </c>
      <c r="H179" s="98">
        <f t="shared" si="6"/>
        <v>97494.5</v>
      </c>
      <c r="I179" s="99">
        <f t="shared" si="5"/>
        <v>5827</v>
      </c>
      <c r="J179">
        <v>97494.5</v>
      </c>
    </row>
    <row r="180" spans="1:10" x14ac:dyDescent="0.25">
      <c r="A180" s="91">
        <v>5827.5</v>
      </c>
      <c r="B180" s="31">
        <f t="shared" si="7"/>
        <v>58640.630000000005</v>
      </c>
      <c r="C180" s="31">
        <v>98340.63</v>
      </c>
      <c r="D180">
        <v>1697.5</v>
      </c>
      <c r="E180" s="97">
        <f>[4]EvapRates!$D$16*'FlamingGorge-Elevation-Area'!D180</f>
        <v>3564.7499999999995</v>
      </c>
      <c r="F180" s="3">
        <v>176</v>
      </c>
      <c r="H180" s="98">
        <f t="shared" si="6"/>
        <v>98340.63</v>
      </c>
      <c r="I180" s="99">
        <f t="shared" si="5"/>
        <v>5827.5</v>
      </c>
      <c r="J180">
        <v>98340.63</v>
      </c>
    </row>
    <row r="181" spans="1:10" x14ac:dyDescent="0.25">
      <c r="A181" s="91">
        <v>5828</v>
      </c>
      <c r="B181" s="31">
        <f t="shared" si="7"/>
        <v>59492</v>
      </c>
      <c r="C181" s="31">
        <v>99192</v>
      </c>
      <c r="D181">
        <v>1708</v>
      </c>
      <c r="E181" s="97">
        <f>[4]EvapRates!$D$16*'FlamingGorge-Elevation-Area'!D181</f>
        <v>3586.7999999999993</v>
      </c>
      <c r="F181" s="3">
        <v>177</v>
      </c>
      <c r="H181" s="98">
        <f t="shared" si="6"/>
        <v>99192</v>
      </c>
      <c r="I181" s="99">
        <f t="shared" si="5"/>
        <v>5828</v>
      </c>
      <c r="J181">
        <v>99192</v>
      </c>
    </row>
    <row r="182" spans="1:10" x14ac:dyDescent="0.25">
      <c r="A182" s="91">
        <v>5828.5</v>
      </c>
      <c r="B182" s="31">
        <f t="shared" si="7"/>
        <v>60348.630000000005</v>
      </c>
      <c r="C182" s="31">
        <v>100048.63</v>
      </c>
      <c r="D182">
        <v>1718.5</v>
      </c>
      <c r="E182" s="97">
        <f>[4]EvapRates!$D$16*'FlamingGorge-Elevation-Area'!D182</f>
        <v>3608.8499999999995</v>
      </c>
      <c r="F182" s="3">
        <v>178</v>
      </c>
      <c r="H182" s="98">
        <f t="shared" si="6"/>
        <v>100048.63</v>
      </c>
      <c r="I182" s="99">
        <f t="shared" si="5"/>
        <v>5828.5</v>
      </c>
      <c r="J182">
        <v>100048.63</v>
      </c>
    </row>
    <row r="183" spans="1:10" x14ac:dyDescent="0.25">
      <c r="A183" s="91">
        <v>5829</v>
      </c>
      <c r="B183" s="31">
        <f t="shared" si="7"/>
        <v>61210.5</v>
      </c>
      <c r="C183" s="31">
        <v>100910.5</v>
      </c>
      <c r="D183">
        <v>1729</v>
      </c>
      <c r="E183" s="97">
        <f>[4]EvapRates!$D$16*'FlamingGorge-Elevation-Area'!D183</f>
        <v>3630.8999999999992</v>
      </c>
      <c r="F183" s="3">
        <v>179</v>
      </c>
      <c r="H183" s="98">
        <f t="shared" si="6"/>
        <v>100910.5</v>
      </c>
      <c r="I183" s="99">
        <f t="shared" si="5"/>
        <v>5829</v>
      </c>
      <c r="J183">
        <v>100910.5</v>
      </c>
    </row>
    <row r="184" spans="1:10" x14ac:dyDescent="0.25">
      <c r="A184" s="91">
        <v>5829.5</v>
      </c>
      <c r="B184" s="31">
        <f t="shared" si="7"/>
        <v>62077.630000000005</v>
      </c>
      <c r="C184" s="31">
        <v>101777.63</v>
      </c>
      <c r="D184">
        <v>1739.5</v>
      </c>
      <c r="E184" s="97">
        <f>[4]EvapRates!$D$16*'FlamingGorge-Elevation-Area'!D184</f>
        <v>3652.9499999999994</v>
      </c>
      <c r="F184" s="3">
        <v>180</v>
      </c>
      <c r="H184" s="98">
        <f t="shared" si="6"/>
        <v>101777.63</v>
      </c>
      <c r="I184" s="99">
        <f t="shared" si="5"/>
        <v>5829.5</v>
      </c>
      <c r="J184">
        <v>101777.63</v>
      </c>
    </row>
    <row r="185" spans="1:10" x14ac:dyDescent="0.25">
      <c r="A185" s="91">
        <v>5830</v>
      </c>
      <c r="B185" s="31">
        <f t="shared" si="7"/>
        <v>62950</v>
      </c>
      <c r="C185" s="31">
        <v>102650</v>
      </c>
      <c r="D185">
        <v>1750</v>
      </c>
      <c r="E185" s="97">
        <f>[4]EvapRates!$D$16*'FlamingGorge-Elevation-Area'!D185</f>
        <v>3674.9999999999995</v>
      </c>
      <c r="F185" s="3">
        <v>181</v>
      </c>
      <c r="H185" s="98">
        <f t="shared" si="6"/>
        <v>102650</v>
      </c>
      <c r="I185" s="99">
        <f t="shared" si="5"/>
        <v>5830</v>
      </c>
      <c r="J185">
        <v>102650</v>
      </c>
    </row>
    <row r="186" spans="1:10" x14ac:dyDescent="0.25">
      <c r="A186" s="91">
        <v>5830.5</v>
      </c>
      <c r="B186" s="31">
        <f t="shared" si="7"/>
        <v>63828.5</v>
      </c>
      <c r="C186" s="31">
        <v>103528.5</v>
      </c>
      <c r="D186">
        <v>1764</v>
      </c>
      <c r="E186" s="97">
        <f>[4]EvapRates!$D$16*'FlamingGorge-Elevation-Area'!D186</f>
        <v>3704.3999999999992</v>
      </c>
      <c r="F186" s="3">
        <v>182</v>
      </c>
      <c r="H186" s="98">
        <f t="shared" si="6"/>
        <v>103528.5</v>
      </c>
      <c r="I186" s="99">
        <f t="shared" si="5"/>
        <v>5830.5</v>
      </c>
      <c r="J186">
        <v>103528.5</v>
      </c>
    </row>
    <row r="187" spans="1:10" x14ac:dyDescent="0.25">
      <c r="A187" s="91">
        <v>5831</v>
      </c>
      <c r="B187" s="31">
        <f t="shared" si="7"/>
        <v>64714</v>
      </c>
      <c r="C187" s="31">
        <v>104414</v>
      </c>
      <c r="D187">
        <v>1778</v>
      </c>
      <c r="E187" s="97">
        <f>[4]EvapRates!$D$16*'FlamingGorge-Elevation-Area'!D187</f>
        <v>3733.7999999999993</v>
      </c>
      <c r="F187" s="3">
        <v>183</v>
      </c>
      <c r="H187" s="98">
        <f t="shared" si="6"/>
        <v>104414</v>
      </c>
      <c r="I187" s="99">
        <f t="shared" si="5"/>
        <v>5831</v>
      </c>
      <c r="J187">
        <v>104414</v>
      </c>
    </row>
    <row r="188" spans="1:10" x14ac:dyDescent="0.25">
      <c r="A188" s="91">
        <v>5831.5</v>
      </c>
      <c r="B188" s="31">
        <f t="shared" si="7"/>
        <v>65606.5</v>
      </c>
      <c r="C188" s="31">
        <v>105306.5</v>
      </c>
      <c r="D188">
        <v>1792</v>
      </c>
      <c r="E188" s="97">
        <f>[4]EvapRates!$D$16*'FlamingGorge-Elevation-Area'!D188</f>
        <v>3763.1999999999994</v>
      </c>
      <c r="F188" s="3">
        <v>184</v>
      </c>
      <c r="H188" s="98">
        <f t="shared" si="6"/>
        <v>105306.5</v>
      </c>
      <c r="I188" s="99">
        <f t="shared" si="5"/>
        <v>5831.5</v>
      </c>
      <c r="J188">
        <v>105306.5</v>
      </c>
    </row>
    <row r="189" spans="1:10" x14ac:dyDescent="0.25">
      <c r="A189" s="91">
        <v>5832</v>
      </c>
      <c r="B189" s="31">
        <f t="shared" si="7"/>
        <v>66506</v>
      </c>
      <c r="C189" s="31">
        <v>106206</v>
      </c>
      <c r="D189">
        <v>1806</v>
      </c>
      <c r="E189" s="97">
        <f>[4]EvapRates!$D$16*'FlamingGorge-Elevation-Area'!D189</f>
        <v>3792.5999999999995</v>
      </c>
      <c r="F189" s="3">
        <v>185</v>
      </c>
      <c r="H189" s="98">
        <f t="shared" si="6"/>
        <v>106206</v>
      </c>
      <c r="I189" s="99">
        <f t="shared" si="5"/>
        <v>5832</v>
      </c>
      <c r="J189">
        <v>106206</v>
      </c>
    </row>
    <row r="190" spans="1:10" x14ac:dyDescent="0.25">
      <c r="A190" s="91">
        <v>5832.5</v>
      </c>
      <c r="B190" s="31">
        <f t="shared" si="7"/>
        <v>67412.5</v>
      </c>
      <c r="C190" s="31">
        <v>107112.5</v>
      </c>
      <c r="D190">
        <v>1820</v>
      </c>
      <c r="E190" s="97">
        <f>[4]EvapRates!$D$16*'FlamingGorge-Elevation-Area'!D190</f>
        <v>3821.9999999999995</v>
      </c>
      <c r="F190" s="3">
        <v>186</v>
      </c>
      <c r="H190" s="98">
        <f t="shared" si="6"/>
        <v>107112.5</v>
      </c>
      <c r="I190" s="99">
        <f t="shared" si="5"/>
        <v>5832.5</v>
      </c>
      <c r="J190">
        <v>107112.5</v>
      </c>
    </row>
    <row r="191" spans="1:10" x14ac:dyDescent="0.25">
      <c r="A191" s="91">
        <v>5833</v>
      </c>
      <c r="B191" s="31">
        <f t="shared" si="7"/>
        <v>68326</v>
      </c>
      <c r="C191" s="31">
        <v>108026</v>
      </c>
      <c r="D191">
        <v>1834</v>
      </c>
      <c r="E191" s="97">
        <f>[4]EvapRates!$D$16*'FlamingGorge-Elevation-Area'!D191</f>
        <v>3851.3999999999992</v>
      </c>
      <c r="F191" s="3">
        <v>187</v>
      </c>
      <c r="H191" s="98">
        <f t="shared" si="6"/>
        <v>108026</v>
      </c>
      <c r="I191" s="99">
        <f t="shared" si="5"/>
        <v>5833</v>
      </c>
      <c r="J191">
        <v>108026</v>
      </c>
    </row>
    <row r="192" spans="1:10" x14ac:dyDescent="0.25">
      <c r="A192" s="91">
        <v>5833.5</v>
      </c>
      <c r="B192" s="31">
        <f t="shared" si="7"/>
        <v>69246.5</v>
      </c>
      <c r="C192" s="31">
        <v>108946.5</v>
      </c>
      <c r="D192">
        <v>1848</v>
      </c>
      <c r="E192" s="97">
        <f>[4]EvapRates!$D$16*'FlamingGorge-Elevation-Area'!D192</f>
        <v>3880.7999999999993</v>
      </c>
      <c r="F192" s="3">
        <v>188</v>
      </c>
      <c r="H192" s="98">
        <f t="shared" si="6"/>
        <v>108946.5</v>
      </c>
      <c r="I192" s="99">
        <f t="shared" si="5"/>
        <v>5833.5</v>
      </c>
      <c r="J192">
        <v>108946.5</v>
      </c>
    </row>
    <row r="193" spans="1:10" x14ac:dyDescent="0.25">
      <c r="A193" s="91">
        <v>5834</v>
      </c>
      <c r="B193" s="31">
        <f t="shared" si="7"/>
        <v>70174</v>
      </c>
      <c r="C193" s="31">
        <v>109874</v>
      </c>
      <c r="D193">
        <v>1862</v>
      </c>
      <c r="E193" s="97">
        <f>[4]EvapRates!$D$16*'FlamingGorge-Elevation-Area'!D193</f>
        <v>3910.1999999999994</v>
      </c>
      <c r="F193" s="3">
        <v>189</v>
      </c>
      <c r="H193" s="98">
        <f t="shared" si="6"/>
        <v>109874</v>
      </c>
      <c r="I193" s="99">
        <f t="shared" si="5"/>
        <v>5834</v>
      </c>
      <c r="J193">
        <v>109874</v>
      </c>
    </row>
    <row r="194" spans="1:10" x14ac:dyDescent="0.25">
      <c r="A194" s="91">
        <v>5834.5</v>
      </c>
      <c r="B194" s="31">
        <f t="shared" si="7"/>
        <v>71108.5</v>
      </c>
      <c r="C194" s="31">
        <v>110808.5</v>
      </c>
      <c r="D194">
        <v>1876</v>
      </c>
      <c r="E194" s="97">
        <f>[4]EvapRates!$D$16*'FlamingGorge-Elevation-Area'!D194</f>
        <v>3939.5999999999995</v>
      </c>
      <c r="F194" s="3">
        <v>190</v>
      </c>
      <c r="H194" s="98">
        <f t="shared" si="6"/>
        <v>110808.5</v>
      </c>
      <c r="I194" s="99">
        <f t="shared" si="5"/>
        <v>5834.5</v>
      </c>
      <c r="J194">
        <v>110808.5</v>
      </c>
    </row>
    <row r="195" spans="1:10" x14ac:dyDescent="0.25">
      <c r="A195" s="91">
        <v>5835</v>
      </c>
      <c r="B195" s="31">
        <f t="shared" si="7"/>
        <v>72050</v>
      </c>
      <c r="C195" s="31">
        <v>111750</v>
      </c>
      <c r="D195">
        <v>1890</v>
      </c>
      <c r="E195" s="97">
        <f>[4]EvapRates!$D$16*'FlamingGorge-Elevation-Area'!D195</f>
        <v>3968.9999999999995</v>
      </c>
      <c r="F195" s="3">
        <v>191</v>
      </c>
      <c r="H195" s="98">
        <f t="shared" si="6"/>
        <v>111750</v>
      </c>
      <c r="I195" s="99">
        <f t="shared" si="5"/>
        <v>5835</v>
      </c>
      <c r="J195">
        <v>111750</v>
      </c>
    </row>
    <row r="196" spans="1:10" x14ac:dyDescent="0.25">
      <c r="A196" s="91">
        <v>5835.5</v>
      </c>
      <c r="B196" s="31">
        <f t="shared" si="7"/>
        <v>72998.5</v>
      </c>
      <c r="C196" s="31">
        <v>112698.5</v>
      </c>
      <c r="D196">
        <v>1904</v>
      </c>
      <c r="E196" s="97">
        <f>[4]EvapRates!$D$16*'FlamingGorge-Elevation-Area'!D196</f>
        <v>3998.3999999999992</v>
      </c>
      <c r="F196" s="3">
        <v>192</v>
      </c>
      <c r="H196" s="98">
        <f t="shared" si="6"/>
        <v>112698.5</v>
      </c>
      <c r="I196" s="99">
        <f t="shared" si="5"/>
        <v>5835.5</v>
      </c>
      <c r="J196">
        <v>112698.5</v>
      </c>
    </row>
    <row r="197" spans="1:10" x14ac:dyDescent="0.25">
      <c r="A197" s="91">
        <v>5836</v>
      </c>
      <c r="B197" s="31">
        <f t="shared" si="7"/>
        <v>73954</v>
      </c>
      <c r="C197" s="31">
        <v>113654</v>
      </c>
      <c r="D197">
        <v>1918</v>
      </c>
      <c r="E197" s="97">
        <f>[4]EvapRates!$D$16*'FlamingGorge-Elevation-Area'!D197</f>
        <v>4027.7999999999993</v>
      </c>
      <c r="F197" s="3">
        <v>193</v>
      </c>
      <c r="H197" s="98">
        <f t="shared" si="6"/>
        <v>113654</v>
      </c>
      <c r="I197" s="99">
        <f t="shared" ref="I197:I260" si="8">A197</f>
        <v>5836</v>
      </c>
      <c r="J197">
        <v>113654</v>
      </c>
    </row>
    <row r="198" spans="1:10" x14ac:dyDescent="0.25">
      <c r="A198" s="91">
        <v>5836.5</v>
      </c>
      <c r="B198" s="31">
        <f t="shared" si="7"/>
        <v>74916.5</v>
      </c>
      <c r="C198" s="31">
        <v>114616.5</v>
      </c>
      <c r="D198">
        <v>1932</v>
      </c>
      <c r="E198" s="97">
        <f>[4]EvapRates!$D$16*'FlamingGorge-Elevation-Area'!D198</f>
        <v>4057.1999999999994</v>
      </c>
      <c r="F198" s="3">
        <v>194</v>
      </c>
      <c r="H198" s="98">
        <f t="shared" ref="H198:H261" si="9">C198</f>
        <v>114616.5</v>
      </c>
      <c r="I198" s="99">
        <f t="shared" si="8"/>
        <v>5836.5</v>
      </c>
      <c r="J198">
        <v>114616.5</v>
      </c>
    </row>
    <row r="199" spans="1:10" x14ac:dyDescent="0.25">
      <c r="A199" s="91">
        <v>5837</v>
      </c>
      <c r="B199" s="31">
        <f t="shared" si="7"/>
        <v>75886</v>
      </c>
      <c r="C199" s="31">
        <v>115586</v>
      </c>
      <c r="D199">
        <v>1946</v>
      </c>
      <c r="E199" s="97">
        <f>[4]EvapRates!$D$16*'FlamingGorge-Elevation-Area'!D199</f>
        <v>4086.5999999999995</v>
      </c>
      <c r="F199" s="3">
        <v>195</v>
      </c>
      <c r="H199" s="98">
        <f t="shared" si="9"/>
        <v>115586</v>
      </c>
      <c r="I199" s="99">
        <f t="shared" si="8"/>
        <v>5837</v>
      </c>
      <c r="J199">
        <v>115586</v>
      </c>
    </row>
    <row r="200" spans="1:10" x14ac:dyDescent="0.25">
      <c r="A200" s="91">
        <v>5837.5</v>
      </c>
      <c r="B200" s="31">
        <f t="shared" si="7"/>
        <v>76862.5</v>
      </c>
      <c r="C200" s="31">
        <v>116562.5</v>
      </c>
      <c r="D200">
        <v>1960</v>
      </c>
      <c r="E200" s="97">
        <f>[4]EvapRates!$D$16*'FlamingGorge-Elevation-Area'!D200</f>
        <v>4115.9999999999991</v>
      </c>
      <c r="F200" s="3">
        <v>196</v>
      </c>
      <c r="H200" s="98">
        <f t="shared" si="9"/>
        <v>116562.5</v>
      </c>
      <c r="I200" s="99">
        <f t="shared" si="8"/>
        <v>5837.5</v>
      </c>
      <c r="J200">
        <v>116562.5</v>
      </c>
    </row>
    <row r="201" spans="1:10" x14ac:dyDescent="0.25">
      <c r="A201" s="91">
        <v>5838</v>
      </c>
      <c r="B201" s="31">
        <f t="shared" si="7"/>
        <v>77846</v>
      </c>
      <c r="C201" s="31">
        <v>117546</v>
      </c>
      <c r="D201">
        <v>1974</v>
      </c>
      <c r="E201" s="97">
        <f>[4]EvapRates!$D$16*'FlamingGorge-Elevation-Area'!D201</f>
        <v>4145.3999999999996</v>
      </c>
      <c r="F201" s="3">
        <v>197</v>
      </c>
      <c r="H201" s="98">
        <f t="shared" si="9"/>
        <v>117546</v>
      </c>
      <c r="I201" s="99">
        <f t="shared" si="8"/>
        <v>5838</v>
      </c>
      <c r="J201">
        <v>117546</v>
      </c>
    </row>
    <row r="202" spans="1:10" x14ac:dyDescent="0.25">
      <c r="A202" s="91">
        <v>5838.5</v>
      </c>
      <c r="B202" s="31">
        <f t="shared" si="7"/>
        <v>78836.5</v>
      </c>
      <c r="C202" s="31">
        <v>118536.5</v>
      </c>
      <c r="D202">
        <v>1988</v>
      </c>
      <c r="E202" s="97">
        <f>[4]EvapRates!$D$16*'FlamingGorge-Elevation-Area'!D202</f>
        <v>4174.7999999999993</v>
      </c>
      <c r="F202" s="3">
        <v>198</v>
      </c>
      <c r="H202" s="98">
        <f t="shared" si="9"/>
        <v>118536.5</v>
      </c>
      <c r="I202" s="99">
        <f t="shared" si="8"/>
        <v>5838.5</v>
      </c>
      <c r="J202">
        <v>118536.5</v>
      </c>
    </row>
    <row r="203" spans="1:10" x14ac:dyDescent="0.25">
      <c r="A203" s="91">
        <v>5839</v>
      </c>
      <c r="B203" s="31">
        <f t="shared" si="7"/>
        <v>79834</v>
      </c>
      <c r="C203" s="31">
        <v>119534</v>
      </c>
      <c r="D203">
        <v>2002</v>
      </c>
      <c r="E203" s="97">
        <f>[4]EvapRates!$D$16*'FlamingGorge-Elevation-Area'!D203</f>
        <v>4204.1999999999989</v>
      </c>
      <c r="F203" s="3">
        <v>199</v>
      </c>
      <c r="H203" s="98">
        <f t="shared" si="9"/>
        <v>119534</v>
      </c>
      <c r="I203" s="99">
        <f t="shared" si="8"/>
        <v>5839</v>
      </c>
      <c r="J203">
        <v>119534</v>
      </c>
    </row>
    <row r="204" spans="1:10" x14ac:dyDescent="0.25">
      <c r="A204" s="91">
        <v>5839.5</v>
      </c>
      <c r="B204" s="31">
        <f t="shared" si="7"/>
        <v>80838.5</v>
      </c>
      <c r="C204" s="31">
        <v>120538.5</v>
      </c>
      <c r="D204">
        <v>2016</v>
      </c>
      <c r="E204" s="97">
        <f>[4]EvapRates!$D$16*'FlamingGorge-Elevation-Area'!D204</f>
        <v>4233.5999999999995</v>
      </c>
      <c r="F204" s="3">
        <v>200</v>
      </c>
      <c r="H204" s="98">
        <f t="shared" si="9"/>
        <v>120538.5</v>
      </c>
      <c r="I204" s="99">
        <f t="shared" si="8"/>
        <v>5839.5</v>
      </c>
      <c r="J204">
        <v>120538.5</v>
      </c>
    </row>
    <row r="205" spans="1:10" x14ac:dyDescent="0.25">
      <c r="A205" s="91">
        <v>5840</v>
      </c>
      <c r="B205" s="31">
        <f t="shared" si="7"/>
        <v>81850</v>
      </c>
      <c r="C205" s="31">
        <v>121550</v>
      </c>
      <c r="D205">
        <v>2030</v>
      </c>
      <c r="E205" s="97">
        <f>[4]EvapRates!$D$16*'FlamingGorge-Elevation-Area'!D205</f>
        <v>4262.9999999999991</v>
      </c>
      <c r="F205" s="3">
        <v>201</v>
      </c>
      <c r="H205" s="98">
        <f t="shared" si="9"/>
        <v>121550</v>
      </c>
      <c r="I205" s="99">
        <f t="shared" si="8"/>
        <v>5840</v>
      </c>
      <c r="J205">
        <v>121550</v>
      </c>
    </row>
    <row r="206" spans="1:10" x14ac:dyDescent="0.25">
      <c r="A206" s="91">
        <v>5840.5</v>
      </c>
      <c r="B206" s="31">
        <f t="shared" si="7"/>
        <v>82871.38</v>
      </c>
      <c r="C206" s="31">
        <v>122571.38</v>
      </c>
      <c r="D206">
        <v>2055.5</v>
      </c>
      <c r="E206" s="97">
        <f>[4]EvapRates!$D$16*'FlamingGorge-Elevation-Area'!D206</f>
        <v>4316.5499999999993</v>
      </c>
      <c r="F206" s="3">
        <v>202</v>
      </c>
      <c r="H206" s="98">
        <f t="shared" si="9"/>
        <v>122571.38</v>
      </c>
      <c r="I206" s="99">
        <f t="shared" si="8"/>
        <v>5840.5</v>
      </c>
      <c r="J206">
        <v>122571.38</v>
      </c>
    </row>
    <row r="207" spans="1:10" x14ac:dyDescent="0.25">
      <c r="A207" s="91">
        <v>5841</v>
      </c>
      <c r="B207" s="31">
        <f t="shared" si="7"/>
        <v>83905.5</v>
      </c>
      <c r="C207" s="31">
        <v>123605.5</v>
      </c>
      <c r="D207">
        <v>2081</v>
      </c>
      <c r="E207" s="97">
        <f>[4]EvapRates!$D$16*'FlamingGorge-Elevation-Area'!D207</f>
        <v>4370.0999999999995</v>
      </c>
      <c r="F207" s="3">
        <v>203</v>
      </c>
      <c r="H207" s="98">
        <f t="shared" si="9"/>
        <v>123605.5</v>
      </c>
      <c r="I207" s="99">
        <f t="shared" si="8"/>
        <v>5841</v>
      </c>
      <c r="J207">
        <v>123605.5</v>
      </c>
    </row>
    <row r="208" spans="1:10" x14ac:dyDescent="0.25">
      <c r="A208" s="91">
        <v>5841.5</v>
      </c>
      <c r="B208" s="31">
        <f t="shared" si="7"/>
        <v>84952.38</v>
      </c>
      <c r="C208" s="31">
        <v>124652.38</v>
      </c>
      <c r="D208">
        <v>2106.5</v>
      </c>
      <c r="E208" s="97">
        <f>[4]EvapRates!$D$16*'FlamingGorge-Elevation-Area'!D208</f>
        <v>4423.6499999999996</v>
      </c>
      <c r="F208" s="3">
        <v>204</v>
      </c>
      <c r="H208" s="98">
        <f t="shared" si="9"/>
        <v>124652.38</v>
      </c>
      <c r="I208" s="99">
        <f t="shared" si="8"/>
        <v>5841.5</v>
      </c>
      <c r="J208">
        <v>124652.38</v>
      </c>
    </row>
    <row r="209" spans="1:10" x14ac:dyDescent="0.25">
      <c r="A209" s="91">
        <v>5842</v>
      </c>
      <c r="B209" s="31">
        <f t="shared" si="7"/>
        <v>86012</v>
      </c>
      <c r="C209" s="31">
        <v>125712</v>
      </c>
      <c r="D209">
        <v>2132</v>
      </c>
      <c r="E209" s="97">
        <f>[4]EvapRates!$D$16*'FlamingGorge-Elevation-Area'!D209</f>
        <v>4477.1999999999989</v>
      </c>
      <c r="F209" s="3">
        <v>205</v>
      </c>
      <c r="H209" s="98">
        <f t="shared" si="9"/>
        <v>125712</v>
      </c>
      <c r="I209" s="99">
        <f t="shared" si="8"/>
        <v>5842</v>
      </c>
      <c r="J209">
        <v>125712</v>
      </c>
    </row>
    <row r="210" spans="1:10" x14ac:dyDescent="0.25">
      <c r="A210" s="91">
        <v>5842.5</v>
      </c>
      <c r="B210" s="31">
        <f t="shared" si="7"/>
        <v>87084.38</v>
      </c>
      <c r="C210" s="31">
        <v>126784.38</v>
      </c>
      <c r="D210">
        <v>2157.5</v>
      </c>
      <c r="E210" s="97">
        <f>[4]EvapRates!$D$16*'FlamingGorge-Elevation-Area'!D210</f>
        <v>4530.7499999999991</v>
      </c>
      <c r="F210" s="3">
        <v>206</v>
      </c>
      <c r="H210" s="98">
        <f t="shared" si="9"/>
        <v>126784.38</v>
      </c>
      <c r="I210" s="99">
        <f t="shared" si="8"/>
        <v>5842.5</v>
      </c>
      <c r="J210">
        <v>126784.38</v>
      </c>
    </row>
    <row r="211" spans="1:10" x14ac:dyDescent="0.25">
      <c r="A211" s="91">
        <v>5843</v>
      </c>
      <c r="B211" s="31">
        <f t="shared" si="7"/>
        <v>88169.5</v>
      </c>
      <c r="C211" s="31">
        <v>127869.5</v>
      </c>
      <c r="D211">
        <v>2183</v>
      </c>
      <c r="E211" s="97">
        <f>[4]EvapRates!$D$16*'FlamingGorge-Elevation-Area'!D211</f>
        <v>4584.2999999999993</v>
      </c>
      <c r="F211" s="3">
        <v>207</v>
      </c>
      <c r="H211" s="98">
        <f t="shared" si="9"/>
        <v>127869.5</v>
      </c>
      <c r="I211" s="99">
        <f t="shared" si="8"/>
        <v>5843</v>
      </c>
      <c r="J211">
        <v>127869.5</v>
      </c>
    </row>
    <row r="212" spans="1:10" x14ac:dyDescent="0.25">
      <c r="A212" s="91">
        <v>5843.5</v>
      </c>
      <c r="B212" s="31">
        <f t="shared" si="7"/>
        <v>89267.38</v>
      </c>
      <c r="C212" s="31">
        <v>128967.38</v>
      </c>
      <c r="D212">
        <v>2208.5</v>
      </c>
      <c r="E212" s="97">
        <f>[4]EvapRates!$D$16*'FlamingGorge-Elevation-Area'!D212</f>
        <v>4637.8499999999995</v>
      </c>
      <c r="F212" s="3">
        <v>208</v>
      </c>
      <c r="H212" s="98">
        <f t="shared" si="9"/>
        <v>128967.38</v>
      </c>
      <c r="I212" s="99">
        <f t="shared" si="8"/>
        <v>5843.5</v>
      </c>
      <c r="J212">
        <v>128967.38</v>
      </c>
    </row>
    <row r="213" spans="1:10" x14ac:dyDescent="0.25">
      <c r="A213" s="91">
        <v>5844</v>
      </c>
      <c r="B213" s="31">
        <f t="shared" si="7"/>
        <v>90378</v>
      </c>
      <c r="C213" s="31">
        <v>130078</v>
      </c>
      <c r="D213">
        <v>2234</v>
      </c>
      <c r="E213" s="97">
        <f>[4]EvapRates!$D$16*'FlamingGorge-Elevation-Area'!D213</f>
        <v>4691.3999999999996</v>
      </c>
      <c r="F213" s="3">
        <v>209</v>
      </c>
      <c r="H213" s="98">
        <f t="shared" si="9"/>
        <v>130078</v>
      </c>
      <c r="I213" s="99">
        <f t="shared" si="8"/>
        <v>5844</v>
      </c>
      <c r="J213">
        <v>130078</v>
      </c>
    </row>
    <row r="214" spans="1:10" x14ac:dyDescent="0.25">
      <c r="A214" s="91">
        <v>5844.5</v>
      </c>
      <c r="B214" s="31">
        <f t="shared" si="7"/>
        <v>91501.38</v>
      </c>
      <c r="C214" s="31">
        <v>131201.38</v>
      </c>
      <c r="D214">
        <v>2259.5</v>
      </c>
      <c r="E214" s="97">
        <f>[4]EvapRates!$D$16*'FlamingGorge-Elevation-Area'!D214</f>
        <v>4744.9499999999989</v>
      </c>
      <c r="F214" s="3">
        <v>210</v>
      </c>
      <c r="H214" s="98">
        <f t="shared" si="9"/>
        <v>131201.38</v>
      </c>
      <c r="I214" s="99">
        <f t="shared" si="8"/>
        <v>5844.5</v>
      </c>
      <c r="J214">
        <v>131201.38</v>
      </c>
    </row>
    <row r="215" spans="1:10" x14ac:dyDescent="0.25">
      <c r="A215" s="91">
        <v>5845</v>
      </c>
      <c r="B215" s="31">
        <f t="shared" si="7"/>
        <v>92637.5</v>
      </c>
      <c r="C215" s="31">
        <v>132337.5</v>
      </c>
      <c r="D215">
        <v>2285</v>
      </c>
      <c r="E215" s="97">
        <f>[4]EvapRates!$D$16*'FlamingGorge-Elevation-Area'!D215</f>
        <v>4798.4999999999991</v>
      </c>
      <c r="F215" s="3">
        <v>211</v>
      </c>
      <c r="H215" s="98">
        <f t="shared" si="9"/>
        <v>132337.5</v>
      </c>
      <c r="I215" s="99">
        <f t="shared" si="8"/>
        <v>5845</v>
      </c>
      <c r="J215">
        <v>132337.5</v>
      </c>
    </row>
    <row r="216" spans="1:10" x14ac:dyDescent="0.25">
      <c r="A216" s="91">
        <v>5845.5</v>
      </c>
      <c r="B216" s="31">
        <f t="shared" si="7"/>
        <v>93786.38</v>
      </c>
      <c r="C216" s="31">
        <v>133486.38</v>
      </c>
      <c r="D216">
        <v>2310.5</v>
      </c>
      <c r="E216" s="97">
        <f>[4]EvapRates!$D$16*'FlamingGorge-Elevation-Area'!D216</f>
        <v>4852.0499999999993</v>
      </c>
      <c r="F216" s="3">
        <v>212</v>
      </c>
      <c r="H216" s="98">
        <f t="shared" si="9"/>
        <v>133486.38</v>
      </c>
      <c r="I216" s="99">
        <f t="shared" si="8"/>
        <v>5845.5</v>
      </c>
      <c r="J216">
        <v>133486.38</v>
      </c>
    </row>
    <row r="217" spans="1:10" x14ac:dyDescent="0.25">
      <c r="A217" s="91">
        <v>5846</v>
      </c>
      <c r="B217" s="31">
        <f t="shared" si="7"/>
        <v>94948</v>
      </c>
      <c r="C217" s="31">
        <v>134648</v>
      </c>
      <c r="D217">
        <v>2336</v>
      </c>
      <c r="E217" s="97">
        <f>[4]EvapRates!$D$16*'FlamingGorge-Elevation-Area'!D217</f>
        <v>4905.5999999999995</v>
      </c>
      <c r="F217" s="3">
        <v>213</v>
      </c>
      <c r="H217" s="98">
        <f t="shared" si="9"/>
        <v>134648</v>
      </c>
      <c r="I217" s="99">
        <f t="shared" si="8"/>
        <v>5846</v>
      </c>
      <c r="J217">
        <v>134648</v>
      </c>
    </row>
    <row r="218" spans="1:10" x14ac:dyDescent="0.25">
      <c r="A218" s="91">
        <v>5846.5</v>
      </c>
      <c r="B218" s="31">
        <f t="shared" si="7"/>
        <v>96122.38</v>
      </c>
      <c r="C218" s="31">
        <v>135822.38</v>
      </c>
      <c r="D218">
        <v>2361.5</v>
      </c>
      <c r="E218" s="97">
        <f>[4]EvapRates!$D$16*'FlamingGorge-Elevation-Area'!D218</f>
        <v>4959.1499999999987</v>
      </c>
      <c r="F218" s="3">
        <v>214</v>
      </c>
      <c r="H218" s="98">
        <f t="shared" si="9"/>
        <v>135822.38</v>
      </c>
      <c r="I218" s="99">
        <f t="shared" si="8"/>
        <v>5846.5</v>
      </c>
      <c r="J218">
        <v>135822.38</v>
      </c>
    </row>
    <row r="219" spans="1:10" x14ac:dyDescent="0.25">
      <c r="A219" s="91">
        <v>5847</v>
      </c>
      <c r="B219" s="31">
        <f t="shared" si="7"/>
        <v>97309.5</v>
      </c>
      <c r="C219" s="31">
        <v>137009.5</v>
      </c>
      <c r="D219">
        <v>2387</v>
      </c>
      <c r="E219" s="97">
        <f>[4]EvapRates!$D$16*'FlamingGorge-Elevation-Area'!D219</f>
        <v>5012.6999999999989</v>
      </c>
      <c r="F219" s="3">
        <v>215</v>
      </c>
      <c r="H219" s="98">
        <f t="shared" si="9"/>
        <v>137009.5</v>
      </c>
      <c r="I219" s="99">
        <f t="shared" si="8"/>
        <v>5847</v>
      </c>
      <c r="J219">
        <v>137009.5</v>
      </c>
    </row>
    <row r="220" spans="1:10" x14ac:dyDescent="0.25">
      <c r="A220" s="91">
        <v>5847.5</v>
      </c>
      <c r="B220" s="31">
        <f t="shared" si="7"/>
        <v>98509.38</v>
      </c>
      <c r="C220" s="31">
        <v>138209.38</v>
      </c>
      <c r="D220">
        <v>2412.5</v>
      </c>
      <c r="E220" s="97">
        <f>[4]EvapRates!$D$16*'FlamingGorge-Elevation-Area'!D220</f>
        <v>5066.2499999999991</v>
      </c>
      <c r="F220" s="3">
        <v>216</v>
      </c>
      <c r="H220" s="98">
        <f t="shared" si="9"/>
        <v>138209.38</v>
      </c>
      <c r="I220" s="99">
        <f t="shared" si="8"/>
        <v>5847.5</v>
      </c>
      <c r="J220">
        <v>138209.38</v>
      </c>
    </row>
    <row r="221" spans="1:10" x14ac:dyDescent="0.25">
      <c r="A221" s="91">
        <v>5848</v>
      </c>
      <c r="B221" s="31">
        <f t="shared" si="7"/>
        <v>99722</v>
      </c>
      <c r="C221" s="31">
        <v>139422</v>
      </c>
      <c r="D221">
        <v>2438</v>
      </c>
      <c r="E221" s="97">
        <f>[4]EvapRates!$D$16*'FlamingGorge-Elevation-Area'!D221</f>
        <v>5119.7999999999993</v>
      </c>
      <c r="F221" s="3">
        <v>217</v>
      </c>
      <c r="H221" s="98">
        <f t="shared" si="9"/>
        <v>139422</v>
      </c>
      <c r="I221" s="99">
        <f t="shared" si="8"/>
        <v>5848</v>
      </c>
      <c r="J221">
        <v>139422</v>
      </c>
    </row>
    <row r="222" spans="1:10" x14ac:dyDescent="0.25">
      <c r="A222" s="91">
        <v>5848.5</v>
      </c>
      <c r="B222" s="31">
        <f t="shared" si="7"/>
        <v>100947.38</v>
      </c>
      <c r="C222" s="31">
        <v>140647.38</v>
      </c>
      <c r="D222">
        <v>2463.5</v>
      </c>
      <c r="E222" s="97">
        <f>[4]EvapRates!$D$16*'FlamingGorge-Elevation-Area'!D222</f>
        <v>5173.3499999999995</v>
      </c>
      <c r="F222" s="3">
        <v>218</v>
      </c>
      <c r="H222" s="98">
        <f t="shared" si="9"/>
        <v>140647.38</v>
      </c>
      <c r="I222" s="99">
        <f t="shared" si="8"/>
        <v>5848.5</v>
      </c>
      <c r="J222">
        <v>140647.38</v>
      </c>
    </row>
    <row r="223" spans="1:10" x14ac:dyDescent="0.25">
      <c r="A223" s="91">
        <v>5849</v>
      </c>
      <c r="B223" s="31">
        <f t="shared" ref="B223:B286" si="10">C223-39700</f>
        <v>102185.5</v>
      </c>
      <c r="C223" s="31">
        <v>141885.5</v>
      </c>
      <c r="D223">
        <v>2489</v>
      </c>
      <c r="E223" s="97">
        <f>[4]EvapRates!$D$16*'FlamingGorge-Elevation-Area'!D223</f>
        <v>5226.8999999999987</v>
      </c>
      <c r="F223" s="3">
        <v>219</v>
      </c>
      <c r="H223" s="98">
        <f t="shared" si="9"/>
        <v>141885.5</v>
      </c>
      <c r="I223" s="99">
        <f t="shared" si="8"/>
        <v>5849</v>
      </c>
      <c r="J223">
        <v>141885.5</v>
      </c>
    </row>
    <row r="224" spans="1:10" x14ac:dyDescent="0.25">
      <c r="A224" s="91">
        <v>5849.5</v>
      </c>
      <c r="B224" s="31">
        <f t="shared" si="10"/>
        <v>103436.38</v>
      </c>
      <c r="C224" s="31">
        <v>143136.38</v>
      </c>
      <c r="D224">
        <v>2514.5</v>
      </c>
      <c r="E224" s="97">
        <f>[4]EvapRates!$D$16*'FlamingGorge-Elevation-Area'!D224</f>
        <v>5280.4499999999989</v>
      </c>
      <c r="F224" s="3">
        <v>220</v>
      </c>
      <c r="H224" s="98">
        <f t="shared" si="9"/>
        <v>143136.38</v>
      </c>
      <c r="I224" s="99">
        <f t="shared" si="8"/>
        <v>5849.5</v>
      </c>
      <c r="J224">
        <v>143136.38</v>
      </c>
    </row>
    <row r="225" spans="1:10" x14ac:dyDescent="0.25">
      <c r="A225" s="91">
        <v>5850</v>
      </c>
      <c r="B225" s="31">
        <f t="shared" si="10"/>
        <v>104700</v>
      </c>
      <c r="C225" s="31">
        <v>144400</v>
      </c>
      <c r="D225">
        <v>2540</v>
      </c>
      <c r="E225" s="97">
        <f>[4]EvapRates!$D$16*'FlamingGorge-Elevation-Area'!D225</f>
        <v>5333.9999999999991</v>
      </c>
      <c r="F225" s="3">
        <v>221</v>
      </c>
      <c r="H225" s="98">
        <f t="shared" si="9"/>
        <v>144400</v>
      </c>
      <c r="I225" s="99">
        <f t="shared" si="8"/>
        <v>5850</v>
      </c>
      <c r="J225">
        <v>144400</v>
      </c>
    </row>
    <row r="226" spans="1:10" x14ac:dyDescent="0.25">
      <c r="A226" s="91">
        <v>5850.5</v>
      </c>
      <c r="B226" s="31">
        <f t="shared" si="10"/>
        <v>105992</v>
      </c>
      <c r="C226" s="31">
        <v>145692</v>
      </c>
      <c r="D226">
        <v>2628</v>
      </c>
      <c r="E226" s="97">
        <f>[4]EvapRates!$D$16*'FlamingGorge-Elevation-Area'!D226</f>
        <v>5518.7999999999993</v>
      </c>
      <c r="F226" s="3">
        <v>222</v>
      </c>
      <c r="H226" s="98">
        <f t="shared" si="9"/>
        <v>145692</v>
      </c>
      <c r="I226" s="99">
        <f t="shared" si="8"/>
        <v>5850.5</v>
      </c>
      <c r="J226">
        <v>145692</v>
      </c>
    </row>
    <row r="227" spans="1:10" x14ac:dyDescent="0.25">
      <c r="A227" s="91">
        <v>5851</v>
      </c>
      <c r="B227" s="31">
        <f t="shared" si="10"/>
        <v>107328</v>
      </c>
      <c r="C227" s="31">
        <v>147028</v>
      </c>
      <c r="D227">
        <v>2716</v>
      </c>
      <c r="E227" s="97">
        <f>[4]EvapRates!$D$16*'FlamingGorge-Elevation-Area'!D227</f>
        <v>5703.5999999999995</v>
      </c>
      <c r="F227" s="3">
        <v>223</v>
      </c>
      <c r="H227" s="98">
        <f t="shared" si="9"/>
        <v>147028</v>
      </c>
      <c r="I227" s="99">
        <f t="shared" si="8"/>
        <v>5851</v>
      </c>
      <c r="J227">
        <v>147028</v>
      </c>
    </row>
    <row r="228" spans="1:10" x14ac:dyDescent="0.25">
      <c r="A228" s="91">
        <v>5851.5</v>
      </c>
      <c r="B228" s="31">
        <f t="shared" si="10"/>
        <v>108708</v>
      </c>
      <c r="C228" s="31">
        <v>148408</v>
      </c>
      <c r="D228">
        <v>2804</v>
      </c>
      <c r="E228" s="97">
        <f>[4]EvapRates!$D$16*'FlamingGorge-Elevation-Area'!D228</f>
        <v>5888.3999999999987</v>
      </c>
      <c r="F228" s="3">
        <v>224</v>
      </c>
      <c r="H228" s="98">
        <f t="shared" si="9"/>
        <v>148408</v>
      </c>
      <c r="I228" s="99">
        <f t="shared" si="8"/>
        <v>5851.5</v>
      </c>
      <c r="J228">
        <v>148408</v>
      </c>
    </row>
    <row r="229" spans="1:10" x14ac:dyDescent="0.25">
      <c r="A229" s="91">
        <v>5852</v>
      </c>
      <c r="B229" s="31">
        <f t="shared" si="10"/>
        <v>110132</v>
      </c>
      <c r="C229" s="31">
        <v>149832</v>
      </c>
      <c r="D229">
        <v>2892</v>
      </c>
      <c r="E229" s="97">
        <f>[4]EvapRates!$D$16*'FlamingGorge-Elevation-Area'!D229</f>
        <v>6073.1999999999989</v>
      </c>
      <c r="F229" s="3">
        <v>225</v>
      </c>
      <c r="H229" s="98">
        <f t="shared" si="9"/>
        <v>149832</v>
      </c>
      <c r="I229" s="99">
        <f t="shared" si="8"/>
        <v>5852</v>
      </c>
      <c r="J229">
        <v>149832</v>
      </c>
    </row>
    <row r="230" spans="1:10" x14ac:dyDescent="0.25">
      <c r="A230" s="91">
        <v>5852.5</v>
      </c>
      <c r="B230" s="31">
        <f t="shared" si="10"/>
        <v>111600</v>
      </c>
      <c r="C230" s="31">
        <v>151300</v>
      </c>
      <c r="D230">
        <v>2980</v>
      </c>
      <c r="E230" s="97">
        <f>[4]EvapRates!$D$16*'FlamingGorge-Elevation-Area'!D230</f>
        <v>6257.9999999999991</v>
      </c>
      <c r="F230" s="3">
        <v>226</v>
      </c>
      <c r="H230" s="98">
        <f t="shared" si="9"/>
        <v>151300</v>
      </c>
      <c r="I230" s="99">
        <f t="shared" si="8"/>
        <v>5852.5</v>
      </c>
      <c r="J230">
        <v>151300</v>
      </c>
    </row>
    <row r="231" spans="1:10" x14ac:dyDescent="0.25">
      <c r="A231" s="91">
        <v>5853</v>
      </c>
      <c r="B231" s="31">
        <f t="shared" si="10"/>
        <v>113112</v>
      </c>
      <c r="C231" s="31">
        <v>152812</v>
      </c>
      <c r="D231">
        <v>3068</v>
      </c>
      <c r="E231" s="97">
        <f>[4]EvapRates!$D$16*'FlamingGorge-Elevation-Area'!D231</f>
        <v>6442.7999999999993</v>
      </c>
      <c r="F231" s="3">
        <v>227</v>
      </c>
      <c r="H231" s="98">
        <f t="shared" si="9"/>
        <v>152812</v>
      </c>
      <c r="I231" s="99">
        <f t="shared" si="8"/>
        <v>5853</v>
      </c>
      <c r="J231">
        <v>152812</v>
      </c>
    </row>
    <row r="232" spans="1:10" x14ac:dyDescent="0.25">
      <c r="A232" s="91">
        <v>5853.5</v>
      </c>
      <c r="B232" s="31">
        <f t="shared" si="10"/>
        <v>114668</v>
      </c>
      <c r="C232" s="31">
        <v>154368</v>
      </c>
      <c r="D232">
        <v>3156</v>
      </c>
      <c r="E232" s="97">
        <f>[4]EvapRates!$D$16*'FlamingGorge-Elevation-Area'!D232</f>
        <v>6627.5999999999985</v>
      </c>
      <c r="F232" s="3">
        <v>228</v>
      </c>
      <c r="H232" s="98">
        <f t="shared" si="9"/>
        <v>154368</v>
      </c>
      <c r="I232" s="99">
        <f t="shared" si="8"/>
        <v>5853.5</v>
      </c>
      <c r="J232">
        <v>154368</v>
      </c>
    </row>
    <row r="233" spans="1:10" x14ac:dyDescent="0.25">
      <c r="A233" s="91">
        <v>5854</v>
      </c>
      <c r="B233" s="31">
        <f t="shared" si="10"/>
        <v>116268</v>
      </c>
      <c r="C233" s="31">
        <v>155968</v>
      </c>
      <c r="D233">
        <v>3244</v>
      </c>
      <c r="E233" s="97">
        <f>[4]EvapRates!$D$16*'FlamingGorge-Elevation-Area'!D233</f>
        <v>6812.3999999999987</v>
      </c>
      <c r="F233" s="3">
        <v>229</v>
      </c>
      <c r="H233" s="98">
        <f t="shared" si="9"/>
        <v>155968</v>
      </c>
      <c r="I233" s="99">
        <f t="shared" si="8"/>
        <v>5854</v>
      </c>
      <c r="J233">
        <v>155968</v>
      </c>
    </row>
    <row r="234" spans="1:10" x14ac:dyDescent="0.25">
      <c r="A234" s="91">
        <v>5854.5</v>
      </c>
      <c r="B234" s="31">
        <f t="shared" si="10"/>
        <v>117912</v>
      </c>
      <c r="C234" s="31">
        <v>157612</v>
      </c>
      <c r="D234">
        <v>3332</v>
      </c>
      <c r="E234" s="97">
        <f>[4]EvapRates!$D$16*'FlamingGorge-Elevation-Area'!D234</f>
        <v>6997.1999999999989</v>
      </c>
      <c r="F234" s="3">
        <v>230</v>
      </c>
      <c r="H234" s="98">
        <f t="shared" si="9"/>
        <v>157612</v>
      </c>
      <c r="I234" s="99">
        <f t="shared" si="8"/>
        <v>5854.5</v>
      </c>
      <c r="J234">
        <v>157612</v>
      </c>
    </row>
    <row r="235" spans="1:10" x14ac:dyDescent="0.25">
      <c r="A235" s="91">
        <v>5855</v>
      </c>
      <c r="B235" s="31">
        <f t="shared" si="10"/>
        <v>119600</v>
      </c>
      <c r="C235" s="31">
        <v>159300</v>
      </c>
      <c r="D235">
        <v>3420</v>
      </c>
      <c r="E235" s="97">
        <f>[4]EvapRates!$D$16*'FlamingGorge-Elevation-Area'!D235</f>
        <v>7181.9999999999991</v>
      </c>
      <c r="F235" s="3">
        <v>231</v>
      </c>
      <c r="H235" s="98">
        <f t="shared" si="9"/>
        <v>159300</v>
      </c>
      <c r="I235" s="99">
        <f t="shared" si="8"/>
        <v>5855</v>
      </c>
      <c r="J235">
        <v>159300</v>
      </c>
    </row>
    <row r="236" spans="1:10" x14ac:dyDescent="0.25">
      <c r="A236" s="91">
        <v>5855.5</v>
      </c>
      <c r="B236" s="31">
        <f t="shared" si="10"/>
        <v>121332</v>
      </c>
      <c r="C236" s="31">
        <v>161032</v>
      </c>
      <c r="D236">
        <v>3508</v>
      </c>
      <c r="E236" s="97">
        <f>[4]EvapRates!$D$16*'FlamingGorge-Elevation-Area'!D236</f>
        <v>7366.7999999999984</v>
      </c>
      <c r="F236" s="3">
        <v>232</v>
      </c>
      <c r="H236" s="98">
        <f t="shared" si="9"/>
        <v>161032</v>
      </c>
      <c r="I236" s="99">
        <f t="shared" si="8"/>
        <v>5855.5</v>
      </c>
      <c r="J236">
        <v>161032</v>
      </c>
    </row>
    <row r="237" spans="1:10" x14ac:dyDescent="0.25">
      <c r="A237" s="91">
        <v>5856</v>
      </c>
      <c r="B237" s="31">
        <f t="shared" si="10"/>
        <v>123108</v>
      </c>
      <c r="C237" s="31">
        <v>162808</v>
      </c>
      <c r="D237">
        <v>3596</v>
      </c>
      <c r="E237" s="97">
        <f>[4]EvapRates!$D$16*'FlamingGorge-Elevation-Area'!D237</f>
        <v>7551.5999999999985</v>
      </c>
      <c r="F237" s="3">
        <v>233</v>
      </c>
      <c r="H237" s="98">
        <f t="shared" si="9"/>
        <v>162808</v>
      </c>
      <c r="I237" s="99">
        <f t="shared" si="8"/>
        <v>5856</v>
      </c>
      <c r="J237">
        <v>162808</v>
      </c>
    </row>
    <row r="238" spans="1:10" x14ac:dyDescent="0.25">
      <c r="A238" s="91">
        <v>5856.5</v>
      </c>
      <c r="B238" s="31">
        <f t="shared" si="10"/>
        <v>124928</v>
      </c>
      <c r="C238" s="31">
        <v>164628</v>
      </c>
      <c r="D238">
        <v>3684</v>
      </c>
      <c r="E238" s="97">
        <f>[4]EvapRates!$D$16*'FlamingGorge-Elevation-Area'!D238</f>
        <v>7736.3999999999987</v>
      </c>
      <c r="F238" s="3">
        <v>234</v>
      </c>
      <c r="H238" s="98">
        <f t="shared" si="9"/>
        <v>164628</v>
      </c>
      <c r="I238" s="99">
        <f t="shared" si="8"/>
        <v>5856.5</v>
      </c>
      <c r="J238">
        <v>164628</v>
      </c>
    </row>
    <row r="239" spans="1:10" x14ac:dyDescent="0.25">
      <c r="A239" s="91">
        <v>5857</v>
      </c>
      <c r="B239" s="31">
        <f t="shared" si="10"/>
        <v>126792</v>
      </c>
      <c r="C239" s="31">
        <v>166492</v>
      </c>
      <c r="D239">
        <v>3772</v>
      </c>
      <c r="E239" s="97">
        <f>[4]EvapRates!$D$16*'FlamingGorge-Elevation-Area'!D239</f>
        <v>7921.1999999999989</v>
      </c>
      <c r="F239" s="3">
        <v>235</v>
      </c>
      <c r="H239" s="98">
        <f t="shared" si="9"/>
        <v>166492</v>
      </c>
      <c r="I239" s="99">
        <f t="shared" si="8"/>
        <v>5857</v>
      </c>
      <c r="J239">
        <v>166492</v>
      </c>
    </row>
    <row r="240" spans="1:10" x14ac:dyDescent="0.25">
      <c r="A240" s="91">
        <v>5857.5</v>
      </c>
      <c r="B240" s="31">
        <f t="shared" si="10"/>
        <v>128700</v>
      </c>
      <c r="C240" s="31">
        <v>168400</v>
      </c>
      <c r="D240">
        <v>3860</v>
      </c>
      <c r="E240" s="97">
        <f>[4]EvapRates!$D$16*'FlamingGorge-Elevation-Area'!D240</f>
        <v>8105.9999999999982</v>
      </c>
      <c r="F240" s="3">
        <v>236</v>
      </c>
      <c r="H240" s="98">
        <f t="shared" si="9"/>
        <v>168400</v>
      </c>
      <c r="I240" s="99">
        <f t="shared" si="8"/>
        <v>5857.5</v>
      </c>
      <c r="J240">
        <v>168400</v>
      </c>
    </row>
    <row r="241" spans="1:10" x14ac:dyDescent="0.25">
      <c r="A241" s="91">
        <v>5858</v>
      </c>
      <c r="B241" s="31">
        <f t="shared" si="10"/>
        <v>130652</v>
      </c>
      <c r="C241" s="31">
        <v>170352</v>
      </c>
      <c r="D241">
        <v>3948</v>
      </c>
      <c r="E241" s="97">
        <f>[4]EvapRates!$D$16*'FlamingGorge-Elevation-Area'!D241</f>
        <v>8290.7999999999993</v>
      </c>
      <c r="F241" s="3">
        <v>237</v>
      </c>
      <c r="H241" s="98">
        <f t="shared" si="9"/>
        <v>170352</v>
      </c>
      <c r="I241" s="99">
        <f t="shared" si="8"/>
        <v>5858</v>
      </c>
      <c r="J241">
        <v>170352</v>
      </c>
    </row>
    <row r="242" spans="1:10" x14ac:dyDescent="0.25">
      <c r="A242" s="91">
        <v>5858.5</v>
      </c>
      <c r="B242" s="31">
        <f t="shared" si="10"/>
        <v>132648</v>
      </c>
      <c r="C242" s="31">
        <v>172348</v>
      </c>
      <c r="D242">
        <v>4036</v>
      </c>
      <c r="E242" s="97">
        <f>[4]EvapRates!$D$16*'FlamingGorge-Elevation-Area'!D242</f>
        <v>8475.5999999999985</v>
      </c>
      <c r="F242" s="3">
        <v>238</v>
      </c>
      <c r="H242" s="98">
        <f t="shared" si="9"/>
        <v>172348</v>
      </c>
      <c r="I242" s="99">
        <f t="shared" si="8"/>
        <v>5858.5</v>
      </c>
      <c r="J242">
        <v>172348</v>
      </c>
    </row>
    <row r="243" spans="1:10" x14ac:dyDescent="0.25">
      <c r="A243" s="91">
        <v>5859</v>
      </c>
      <c r="B243" s="31">
        <f t="shared" si="10"/>
        <v>134688</v>
      </c>
      <c r="C243" s="31">
        <v>174388</v>
      </c>
      <c r="D243">
        <v>4124</v>
      </c>
      <c r="E243" s="97">
        <f>[4]EvapRates!$D$16*'FlamingGorge-Elevation-Area'!D243</f>
        <v>8660.3999999999978</v>
      </c>
      <c r="F243" s="3">
        <v>239</v>
      </c>
      <c r="H243" s="98">
        <f t="shared" si="9"/>
        <v>174388</v>
      </c>
      <c r="I243" s="99">
        <f t="shared" si="8"/>
        <v>5859</v>
      </c>
      <c r="J243">
        <v>174388</v>
      </c>
    </row>
    <row r="244" spans="1:10" x14ac:dyDescent="0.25">
      <c r="A244" s="91">
        <v>5859.5</v>
      </c>
      <c r="B244" s="31">
        <f t="shared" si="10"/>
        <v>136772</v>
      </c>
      <c r="C244" s="31">
        <v>176472</v>
      </c>
      <c r="D244">
        <v>4212</v>
      </c>
      <c r="E244" s="97">
        <f>[4]EvapRates!$D$16*'FlamingGorge-Elevation-Area'!D244</f>
        <v>8845.1999999999989</v>
      </c>
      <c r="F244" s="3">
        <v>240</v>
      </c>
      <c r="H244" s="98">
        <f t="shared" si="9"/>
        <v>176472</v>
      </c>
      <c r="I244" s="99">
        <f t="shared" si="8"/>
        <v>5859.5</v>
      </c>
      <c r="J244">
        <v>176472</v>
      </c>
    </row>
    <row r="245" spans="1:10" x14ac:dyDescent="0.25">
      <c r="A245" s="91">
        <v>5860</v>
      </c>
      <c r="B245" s="31">
        <f t="shared" si="10"/>
        <v>138900</v>
      </c>
      <c r="C245" s="31">
        <v>178600</v>
      </c>
      <c r="D245">
        <v>4300</v>
      </c>
      <c r="E245" s="97">
        <f>[4]EvapRates!$D$16*'FlamingGorge-Elevation-Area'!D245</f>
        <v>9029.9999999999982</v>
      </c>
      <c r="F245" s="3">
        <v>241</v>
      </c>
      <c r="H245" s="98">
        <f t="shared" si="9"/>
        <v>178600</v>
      </c>
      <c r="I245" s="99">
        <f t="shared" si="8"/>
        <v>5860</v>
      </c>
      <c r="J245">
        <v>178600</v>
      </c>
    </row>
    <row r="246" spans="1:10" x14ac:dyDescent="0.25">
      <c r="A246" s="91">
        <v>5860.5</v>
      </c>
      <c r="B246" s="31">
        <f t="shared" si="10"/>
        <v>141065.88</v>
      </c>
      <c r="C246" s="31">
        <v>180765.88</v>
      </c>
      <c r="D246">
        <v>4363.5</v>
      </c>
      <c r="E246" s="97">
        <f>[4]EvapRates!$D$16*'FlamingGorge-Elevation-Area'!D246</f>
        <v>9163.3499999999985</v>
      </c>
      <c r="F246" s="3">
        <v>242</v>
      </c>
      <c r="H246" s="98">
        <f t="shared" si="9"/>
        <v>180765.88</v>
      </c>
      <c r="I246" s="99">
        <f t="shared" si="8"/>
        <v>5860.5</v>
      </c>
      <c r="J246">
        <v>180765.88</v>
      </c>
    </row>
    <row r="247" spans="1:10" x14ac:dyDescent="0.25">
      <c r="A247" s="91">
        <v>5861</v>
      </c>
      <c r="B247" s="31">
        <f t="shared" si="10"/>
        <v>143263.5</v>
      </c>
      <c r="C247" s="31">
        <v>182963.5</v>
      </c>
      <c r="D247">
        <v>4427</v>
      </c>
      <c r="E247" s="97">
        <f>[4]EvapRates!$D$16*'FlamingGorge-Elevation-Area'!D247</f>
        <v>9296.6999999999989</v>
      </c>
      <c r="F247" s="3">
        <v>243</v>
      </c>
      <c r="H247" s="98">
        <f t="shared" si="9"/>
        <v>182963.5</v>
      </c>
      <c r="I247" s="99">
        <f t="shared" si="8"/>
        <v>5861</v>
      </c>
      <c r="J247">
        <v>182963.5</v>
      </c>
    </row>
    <row r="248" spans="1:10" x14ac:dyDescent="0.25">
      <c r="A248" s="91">
        <v>5861.5</v>
      </c>
      <c r="B248" s="31">
        <f t="shared" si="10"/>
        <v>145492.88</v>
      </c>
      <c r="C248" s="31">
        <v>185192.88</v>
      </c>
      <c r="D248">
        <v>4490.5</v>
      </c>
      <c r="E248" s="97">
        <f>[4]EvapRates!$D$16*'FlamingGorge-Elevation-Area'!D248</f>
        <v>9430.0499999999993</v>
      </c>
      <c r="F248" s="3">
        <v>244</v>
      </c>
      <c r="H248" s="98">
        <f t="shared" si="9"/>
        <v>185192.88</v>
      </c>
      <c r="I248" s="99">
        <f t="shared" si="8"/>
        <v>5861.5</v>
      </c>
      <c r="J248">
        <v>185192.88</v>
      </c>
    </row>
    <row r="249" spans="1:10" x14ac:dyDescent="0.25">
      <c r="A249" s="91">
        <v>5862</v>
      </c>
      <c r="B249" s="31">
        <f t="shared" si="10"/>
        <v>147754</v>
      </c>
      <c r="C249" s="31">
        <v>187454</v>
      </c>
      <c r="D249">
        <v>4554</v>
      </c>
      <c r="E249" s="97">
        <f>[4]EvapRates!$D$16*'FlamingGorge-Elevation-Area'!D249</f>
        <v>9563.3999999999978</v>
      </c>
      <c r="F249" s="3">
        <v>245</v>
      </c>
      <c r="H249" s="98">
        <f t="shared" si="9"/>
        <v>187454</v>
      </c>
      <c r="I249" s="99">
        <f t="shared" si="8"/>
        <v>5862</v>
      </c>
      <c r="J249">
        <v>187454</v>
      </c>
    </row>
    <row r="250" spans="1:10" x14ac:dyDescent="0.25">
      <c r="A250" s="91">
        <v>5862.5</v>
      </c>
      <c r="B250" s="31">
        <f t="shared" si="10"/>
        <v>150046.88</v>
      </c>
      <c r="C250" s="31">
        <v>189746.88</v>
      </c>
      <c r="D250">
        <v>4617.5</v>
      </c>
      <c r="E250" s="97">
        <f>[4]EvapRates!$D$16*'FlamingGorge-Elevation-Area'!D250</f>
        <v>9696.7499999999982</v>
      </c>
      <c r="F250" s="3">
        <v>246</v>
      </c>
      <c r="H250" s="98">
        <f t="shared" si="9"/>
        <v>189746.88</v>
      </c>
      <c r="I250" s="99">
        <f t="shared" si="8"/>
        <v>5862.5</v>
      </c>
      <c r="J250">
        <v>189746.88</v>
      </c>
    </row>
    <row r="251" spans="1:10" x14ac:dyDescent="0.25">
      <c r="A251" s="91">
        <v>5863</v>
      </c>
      <c r="B251" s="31">
        <f t="shared" si="10"/>
        <v>152371.5</v>
      </c>
      <c r="C251" s="31">
        <v>192071.5</v>
      </c>
      <c r="D251">
        <v>4681</v>
      </c>
      <c r="E251" s="97">
        <f>[4]EvapRates!$D$16*'FlamingGorge-Elevation-Area'!D251</f>
        <v>9830.0999999999985</v>
      </c>
      <c r="F251" s="3">
        <v>247</v>
      </c>
      <c r="H251" s="98">
        <f t="shared" si="9"/>
        <v>192071.5</v>
      </c>
      <c r="I251" s="99">
        <f t="shared" si="8"/>
        <v>5863</v>
      </c>
      <c r="J251">
        <v>192071.5</v>
      </c>
    </row>
    <row r="252" spans="1:10" x14ac:dyDescent="0.25">
      <c r="A252" s="91">
        <v>5863.5</v>
      </c>
      <c r="B252" s="31">
        <f t="shared" si="10"/>
        <v>154727.88</v>
      </c>
      <c r="C252" s="31">
        <v>194427.88</v>
      </c>
      <c r="D252">
        <v>4744.5</v>
      </c>
      <c r="E252" s="97">
        <f>[4]EvapRates!$D$16*'FlamingGorge-Elevation-Area'!D252</f>
        <v>9963.4499999999989</v>
      </c>
      <c r="F252" s="3">
        <v>248</v>
      </c>
      <c r="H252" s="98">
        <f t="shared" si="9"/>
        <v>194427.88</v>
      </c>
      <c r="I252" s="99">
        <f t="shared" si="8"/>
        <v>5863.5</v>
      </c>
      <c r="J252">
        <v>194427.88</v>
      </c>
    </row>
    <row r="253" spans="1:10" x14ac:dyDescent="0.25">
      <c r="A253" s="91">
        <v>5864</v>
      </c>
      <c r="B253" s="31">
        <f t="shared" si="10"/>
        <v>157116</v>
      </c>
      <c r="C253" s="31">
        <v>196816</v>
      </c>
      <c r="D253">
        <v>4808</v>
      </c>
      <c r="E253" s="97">
        <f>[4]EvapRates!$D$16*'FlamingGorge-Elevation-Area'!D253</f>
        <v>10096.799999999997</v>
      </c>
      <c r="F253" s="3">
        <v>249</v>
      </c>
      <c r="H253" s="98">
        <f t="shared" si="9"/>
        <v>196816</v>
      </c>
      <c r="I253" s="99">
        <f t="shared" si="8"/>
        <v>5864</v>
      </c>
      <c r="J253">
        <v>196816</v>
      </c>
    </row>
    <row r="254" spans="1:10" x14ac:dyDescent="0.25">
      <c r="A254" s="91">
        <v>5864.5</v>
      </c>
      <c r="B254" s="31">
        <f t="shared" si="10"/>
        <v>159535.88</v>
      </c>
      <c r="C254" s="31">
        <v>199235.88</v>
      </c>
      <c r="D254">
        <v>4871.5</v>
      </c>
      <c r="E254" s="97">
        <f>[4]EvapRates!$D$16*'FlamingGorge-Elevation-Area'!D254</f>
        <v>10230.149999999998</v>
      </c>
      <c r="F254" s="3">
        <v>250</v>
      </c>
      <c r="H254" s="98">
        <f t="shared" si="9"/>
        <v>199235.88</v>
      </c>
      <c r="I254" s="99">
        <f t="shared" si="8"/>
        <v>5864.5</v>
      </c>
      <c r="J254">
        <v>199235.88</v>
      </c>
    </row>
    <row r="255" spans="1:10" x14ac:dyDescent="0.25">
      <c r="A255" s="91">
        <v>5865</v>
      </c>
      <c r="B255" s="31">
        <f t="shared" si="10"/>
        <v>161987.5</v>
      </c>
      <c r="C255" s="31">
        <v>201687.5</v>
      </c>
      <c r="D255">
        <v>4935</v>
      </c>
      <c r="E255" s="97">
        <f>[4]EvapRates!$D$16*'FlamingGorge-Elevation-Area'!D255</f>
        <v>10363.499999999998</v>
      </c>
      <c r="F255" s="3">
        <v>251</v>
      </c>
      <c r="H255" s="98">
        <f t="shared" si="9"/>
        <v>201687.5</v>
      </c>
      <c r="I255" s="99">
        <f t="shared" si="8"/>
        <v>5865</v>
      </c>
      <c r="J255">
        <v>201687.5</v>
      </c>
    </row>
    <row r="256" spans="1:10" x14ac:dyDescent="0.25">
      <c r="A256" s="91">
        <v>5865.5</v>
      </c>
      <c r="B256" s="31">
        <f t="shared" si="10"/>
        <v>164470.88</v>
      </c>
      <c r="C256" s="31">
        <v>204170.88</v>
      </c>
      <c r="D256">
        <v>4998.5</v>
      </c>
      <c r="E256" s="97">
        <f>[4]EvapRates!$D$16*'FlamingGorge-Elevation-Area'!D256</f>
        <v>10496.849999999999</v>
      </c>
      <c r="F256" s="3">
        <v>252</v>
      </c>
      <c r="H256" s="98">
        <f t="shared" si="9"/>
        <v>204170.88</v>
      </c>
      <c r="I256" s="99">
        <f t="shared" si="8"/>
        <v>5865.5</v>
      </c>
      <c r="J256">
        <v>204170.88</v>
      </c>
    </row>
    <row r="257" spans="1:20" x14ac:dyDescent="0.25">
      <c r="A257" s="91">
        <v>5866</v>
      </c>
      <c r="B257" s="31">
        <f t="shared" si="10"/>
        <v>166986</v>
      </c>
      <c r="C257" s="31">
        <v>206686</v>
      </c>
      <c r="D257">
        <v>5062</v>
      </c>
      <c r="E257" s="97">
        <f>[4]EvapRates!$D$16*'FlamingGorge-Elevation-Area'!D257</f>
        <v>10630.199999999999</v>
      </c>
      <c r="F257" s="3">
        <v>253</v>
      </c>
      <c r="H257" s="98">
        <f t="shared" si="9"/>
        <v>206686</v>
      </c>
      <c r="I257" s="99">
        <f t="shared" si="8"/>
        <v>5866</v>
      </c>
      <c r="J257">
        <v>206686</v>
      </c>
    </row>
    <row r="258" spans="1:20" x14ac:dyDescent="0.25">
      <c r="A258" s="91">
        <v>5866.5</v>
      </c>
      <c r="B258" s="31">
        <f t="shared" si="10"/>
        <v>169532.88</v>
      </c>
      <c r="C258" s="31">
        <v>209232.88</v>
      </c>
      <c r="D258">
        <v>5125.5</v>
      </c>
      <c r="E258" s="97">
        <f>[4]EvapRates!$D$16*'FlamingGorge-Elevation-Area'!D258</f>
        <v>10763.549999999997</v>
      </c>
      <c r="F258" s="3">
        <v>254</v>
      </c>
      <c r="H258" s="98">
        <f t="shared" si="9"/>
        <v>209232.88</v>
      </c>
      <c r="I258" s="99">
        <f t="shared" si="8"/>
        <v>5866.5</v>
      </c>
      <c r="J258">
        <v>209232.88</v>
      </c>
    </row>
    <row r="259" spans="1:20" x14ac:dyDescent="0.25">
      <c r="A259" s="91">
        <v>5867</v>
      </c>
      <c r="B259" s="31">
        <f t="shared" si="10"/>
        <v>172111.5</v>
      </c>
      <c r="C259" s="31">
        <v>211811.5</v>
      </c>
      <c r="D259">
        <v>5189</v>
      </c>
      <c r="E259" s="97">
        <f>[4]EvapRates!$D$16*'FlamingGorge-Elevation-Area'!D259</f>
        <v>10896.899999999998</v>
      </c>
      <c r="F259" s="3">
        <v>255</v>
      </c>
      <c r="H259" s="98">
        <f t="shared" si="9"/>
        <v>211811.5</v>
      </c>
      <c r="I259" s="99">
        <f t="shared" si="8"/>
        <v>5867</v>
      </c>
      <c r="J259">
        <v>211811.5</v>
      </c>
    </row>
    <row r="260" spans="1:20" x14ac:dyDescent="0.25">
      <c r="A260" s="91">
        <v>5867.5</v>
      </c>
      <c r="B260" s="31">
        <f t="shared" si="10"/>
        <v>174721.88</v>
      </c>
      <c r="C260" s="31">
        <v>214421.88</v>
      </c>
      <c r="D260">
        <v>5252.5</v>
      </c>
      <c r="E260" s="97">
        <f>[4]EvapRates!$D$16*'FlamingGorge-Elevation-Area'!D260</f>
        <v>11030.249999999998</v>
      </c>
      <c r="F260" s="3">
        <v>256</v>
      </c>
      <c r="H260" s="98">
        <f t="shared" si="9"/>
        <v>214421.88</v>
      </c>
      <c r="I260" s="99">
        <f t="shared" si="8"/>
        <v>5867.5</v>
      </c>
      <c r="J260">
        <v>214421.88</v>
      </c>
    </row>
    <row r="261" spans="1:20" x14ac:dyDescent="0.25">
      <c r="A261" s="91">
        <v>5868</v>
      </c>
      <c r="B261" s="31">
        <f t="shared" si="10"/>
        <v>177364</v>
      </c>
      <c r="C261" s="31">
        <v>217064</v>
      </c>
      <c r="D261">
        <v>5316</v>
      </c>
      <c r="E261" s="97">
        <f>[4]EvapRates!$D$16*'FlamingGorge-Elevation-Area'!D261</f>
        <v>11163.599999999999</v>
      </c>
      <c r="F261" s="3">
        <v>257</v>
      </c>
      <c r="H261" s="98">
        <f t="shared" si="9"/>
        <v>217064</v>
      </c>
      <c r="I261" s="99">
        <f t="shared" ref="I261:I324" si="11">A261</f>
        <v>5868</v>
      </c>
      <c r="J261">
        <v>217064</v>
      </c>
    </row>
    <row r="262" spans="1:20" x14ac:dyDescent="0.25">
      <c r="A262" s="91">
        <v>5868.5</v>
      </c>
      <c r="B262" s="31">
        <f t="shared" si="10"/>
        <v>180037.88</v>
      </c>
      <c r="C262" s="31">
        <v>219737.88</v>
      </c>
      <c r="D262">
        <v>5379.5</v>
      </c>
      <c r="E262" s="97">
        <f>[4]EvapRates!$D$16*'FlamingGorge-Elevation-Area'!D262</f>
        <v>11296.949999999999</v>
      </c>
      <c r="F262" s="3">
        <v>258</v>
      </c>
      <c r="H262" s="98">
        <f t="shared" ref="H262:H325" si="12">C262</f>
        <v>219737.88</v>
      </c>
      <c r="I262" s="99">
        <f t="shared" si="11"/>
        <v>5868.5</v>
      </c>
      <c r="J262">
        <v>219737.88</v>
      </c>
    </row>
    <row r="263" spans="1:20" x14ac:dyDescent="0.25">
      <c r="A263" s="91">
        <v>5869</v>
      </c>
      <c r="B263" s="31">
        <f t="shared" si="10"/>
        <v>182743.5</v>
      </c>
      <c r="C263" s="31">
        <v>222443.5</v>
      </c>
      <c r="D263">
        <v>5443</v>
      </c>
      <c r="E263" s="97">
        <f>[4]EvapRates!$D$16*'FlamingGorge-Elevation-Area'!D263</f>
        <v>11430.299999999997</v>
      </c>
      <c r="F263" s="3">
        <v>259</v>
      </c>
      <c r="H263" s="98">
        <f t="shared" si="12"/>
        <v>222443.5</v>
      </c>
      <c r="I263" s="99">
        <f t="shared" si="11"/>
        <v>5869</v>
      </c>
      <c r="J263">
        <v>222443.5</v>
      </c>
    </row>
    <row r="264" spans="1:20" x14ac:dyDescent="0.25">
      <c r="A264" s="91">
        <v>5869.5</v>
      </c>
      <c r="B264" s="31">
        <f t="shared" si="10"/>
        <v>185480.88</v>
      </c>
      <c r="C264" s="31">
        <v>225180.88</v>
      </c>
      <c r="D264">
        <v>5506.5</v>
      </c>
      <c r="E264" s="97">
        <f>[4]EvapRates!$D$16*'FlamingGorge-Elevation-Area'!D264</f>
        <v>11563.649999999998</v>
      </c>
      <c r="F264" s="3">
        <v>260</v>
      </c>
      <c r="H264" s="98">
        <f t="shared" si="12"/>
        <v>225180.88</v>
      </c>
      <c r="I264" s="99">
        <f t="shared" si="11"/>
        <v>5869.5</v>
      </c>
      <c r="J264">
        <v>225180.88</v>
      </c>
    </row>
    <row r="265" spans="1:20" x14ac:dyDescent="0.25">
      <c r="A265" s="91">
        <v>5870</v>
      </c>
      <c r="B265" s="31">
        <f t="shared" si="10"/>
        <v>188250</v>
      </c>
      <c r="C265" s="31">
        <v>227950</v>
      </c>
      <c r="D265">
        <v>5570</v>
      </c>
      <c r="E265" s="97">
        <f>[4]EvapRates!$D$16*'FlamingGorge-Elevation-Area'!D265</f>
        <v>11696.999999999998</v>
      </c>
      <c r="F265" s="3">
        <v>261</v>
      </c>
      <c r="H265" s="98">
        <f t="shared" si="12"/>
        <v>227950</v>
      </c>
      <c r="I265" s="99">
        <f t="shared" si="11"/>
        <v>5870</v>
      </c>
      <c r="J265">
        <v>227950</v>
      </c>
      <c r="M265" s="98">
        <v>233586</v>
      </c>
      <c r="N265" s="80">
        <f>I265</f>
        <v>5870</v>
      </c>
      <c r="O265" s="80" cm="1">
        <f t="array" ref="O265">LinInterp(N265,I5:I625,J5:J625)</f>
        <v>227950</v>
      </c>
      <c r="P265" s="80">
        <f>N265</f>
        <v>5870</v>
      </c>
      <c r="R265" s="80">
        <f>N265</f>
        <v>5870</v>
      </c>
      <c r="S265">
        <f>J265</f>
        <v>227950</v>
      </c>
      <c r="T265" s="80">
        <f>P265</f>
        <v>5870</v>
      </c>
    </row>
    <row r="266" spans="1:20" x14ac:dyDescent="0.25">
      <c r="A266" s="91">
        <v>5870.5</v>
      </c>
      <c r="B266" s="31">
        <f t="shared" si="10"/>
        <v>191051.5</v>
      </c>
      <c r="C266" s="31">
        <v>230751.5</v>
      </c>
      <c r="D266">
        <v>5636</v>
      </c>
      <c r="E266" s="97">
        <f>[4]EvapRates!$D$16*'FlamingGorge-Elevation-Area'!D266</f>
        <v>11835.599999999999</v>
      </c>
      <c r="F266" s="3">
        <v>262</v>
      </c>
      <c r="H266" s="98">
        <f t="shared" si="12"/>
        <v>230751.5</v>
      </c>
      <c r="I266" s="99">
        <f t="shared" si="11"/>
        <v>5870.5</v>
      </c>
      <c r="J266">
        <v>230751.5</v>
      </c>
      <c r="N266" s="80">
        <f>N265+5</f>
        <v>5875</v>
      </c>
      <c r="O266" s="80" cm="1">
        <f t="array" ref="O266">LinInterp(N266,I6:I626,J6:J626)</f>
        <v>257450</v>
      </c>
      <c r="P266" s="80">
        <f t="shared" ref="P266:P296" si="13">N266</f>
        <v>5875</v>
      </c>
      <c r="R266" s="80">
        <f>R265+0.5</f>
        <v>5870.5</v>
      </c>
      <c r="S266">
        <f t="shared" ref="S266:S329" si="14">J266</f>
        <v>230751.5</v>
      </c>
      <c r="T266" s="80">
        <f>T265+0.5</f>
        <v>5870.5</v>
      </c>
    </row>
    <row r="267" spans="1:20" x14ac:dyDescent="0.25">
      <c r="A267" s="91">
        <v>5871</v>
      </c>
      <c r="B267" s="31">
        <f t="shared" si="10"/>
        <v>193886</v>
      </c>
      <c r="C267" s="31">
        <v>233586</v>
      </c>
      <c r="D267">
        <v>5702</v>
      </c>
      <c r="E267" s="97">
        <f>[4]EvapRates!$D$16*'FlamingGorge-Elevation-Area'!D267</f>
        <v>11974.199999999997</v>
      </c>
      <c r="F267" s="3">
        <v>263</v>
      </c>
      <c r="H267" s="98">
        <f t="shared" si="12"/>
        <v>233586</v>
      </c>
      <c r="I267" s="99">
        <f t="shared" si="11"/>
        <v>5871</v>
      </c>
      <c r="J267">
        <v>233586</v>
      </c>
      <c r="N267" s="80">
        <f t="shared" ref="N267:N296" si="15">N266+5</f>
        <v>5880</v>
      </c>
      <c r="O267" s="80" cm="1">
        <f t="array" ref="O267">LinInterp(N267,I7:I627,J7:J627)</f>
        <v>290250</v>
      </c>
      <c r="P267" s="80">
        <f t="shared" si="13"/>
        <v>5880</v>
      </c>
      <c r="R267" s="80">
        <f t="shared" ref="R267:R330" si="16">R266+0.5</f>
        <v>5871</v>
      </c>
      <c r="S267">
        <f t="shared" si="14"/>
        <v>233586</v>
      </c>
      <c r="T267" s="80">
        <f t="shared" ref="T267:T330" si="17">T266+0.5</f>
        <v>5871</v>
      </c>
    </row>
    <row r="268" spans="1:20" x14ac:dyDescent="0.25">
      <c r="A268" s="91">
        <v>5871.5</v>
      </c>
      <c r="B268" s="31">
        <f t="shared" si="10"/>
        <v>196753.5</v>
      </c>
      <c r="C268" s="31">
        <v>236453.5</v>
      </c>
      <c r="D268">
        <v>5768</v>
      </c>
      <c r="E268" s="97">
        <f>[4]EvapRates!$D$16*'FlamingGorge-Elevation-Area'!D268</f>
        <v>12112.799999999997</v>
      </c>
      <c r="F268" s="3">
        <v>264</v>
      </c>
      <c r="H268" s="98">
        <f t="shared" si="12"/>
        <v>236453.5</v>
      </c>
      <c r="I268" s="99">
        <f t="shared" si="11"/>
        <v>5871.5</v>
      </c>
      <c r="J268">
        <v>236453.5</v>
      </c>
      <c r="N268" s="80">
        <f t="shared" si="15"/>
        <v>5885</v>
      </c>
      <c r="O268" s="80" cm="1">
        <f t="array" ref="O268">LinInterp(N268,I8:I628,J8:J628)</f>
        <v>326187.5</v>
      </c>
      <c r="P268" s="80">
        <f t="shared" si="13"/>
        <v>5885</v>
      </c>
      <c r="R268" s="80">
        <f t="shared" si="16"/>
        <v>5871.5</v>
      </c>
      <c r="S268">
        <f t="shared" si="14"/>
        <v>236453.5</v>
      </c>
      <c r="T268" s="80">
        <f t="shared" si="17"/>
        <v>5871.5</v>
      </c>
    </row>
    <row r="269" spans="1:20" x14ac:dyDescent="0.25">
      <c r="A269" s="91">
        <v>5872</v>
      </c>
      <c r="B269" s="31">
        <f t="shared" si="10"/>
        <v>199654</v>
      </c>
      <c r="C269" s="31">
        <v>239354</v>
      </c>
      <c r="D269">
        <v>5834</v>
      </c>
      <c r="E269" s="97">
        <f>[4]EvapRates!$D$16*'FlamingGorge-Elevation-Area'!D269</f>
        <v>12251.399999999998</v>
      </c>
      <c r="F269" s="3">
        <v>265</v>
      </c>
      <c r="H269" s="98">
        <f t="shared" si="12"/>
        <v>239354</v>
      </c>
      <c r="I269" s="99">
        <f t="shared" si="11"/>
        <v>5872</v>
      </c>
      <c r="J269">
        <v>239354</v>
      </c>
      <c r="N269" s="80">
        <f t="shared" si="15"/>
        <v>5890</v>
      </c>
      <c r="O269" s="80" cm="1">
        <f t="array" ref="O269">LinInterp(N269,I9:I629,J9:J629)</f>
        <v>365100</v>
      </c>
      <c r="P269" s="80">
        <f t="shared" si="13"/>
        <v>5890</v>
      </c>
      <c r="R269" s="80">
        <f t="shared" si="16"/>
        <v>5872</v>
      </c>
      <c r="S269">
        <f t="shared" si="14"/>
        <v>239354</v>
      </c>
      <c r="T269" s="80">
        <f t="shared" si="17"/>
        <v>5872</v>
      </c>
    </row>
    <row r="270" spans="1:20" x14ac:dyDescent="0.25">
      <c r="A270" s="91">
        <v>5872.5</v>
      </c>
      <c r="B270" s="31">
        <f t="shared" si="10"/>
        <v>202587.5</v>
      </c>
      <c r="C270" s="31">
        <v>242287.5</v>
      </c>
      <c r="D270">
        <v>5900</v>
      </c>
      <c r="E270" s="97">
        <f>[4]EvapRates!$D$16*'FlamingGorge-Elevation-Area'!D270</f>
        <v>12389.999999999998</v>
      </c>
      <c r="F270" s="3">
        <v>266</v>
      </c>
      <c r="H270" s="98">
        <f t="shared" si="12"/>
        <v>242287.5</v>
      </c>
      <c r="I270" s="99">
        <f t="shared" si="11"/>
        <v>5872.5</v>
      </c>
      <c r="J270">
        <v>242287.5</v>
      </c>
      <c r="N270" s="80">
        <f t="shared" si="15"/>
        <v>5895</v>
      </c>
      <c r="O270" s="80" cm="1">
        <f t="array" ref="O270">LinInterp(N270,I10:I630,J10:J630)</f>
        <v>407362.5</v>
      </c>
      <c r="P270" s="80">
        <f t="shared" si="13"/>
        <v>5895</v>
      </c>
      <c r="R270" s="80">
        <f t="shared" si="16"/>
        <v>5872.5</v>
      </c>
      <c r="S270">
        <f t="shared" si="14"/>
        <v>242287.5</v>
      </c>
      <c r="T270" s="80">
        <f t="shared" si="17"/>
        <v>5872.5</v>
      </c>
    </row>
    <row r="271" spans="1:20" x14ac:dyDescent="0.25">
      <c r="A271" s="91">
        <v>5873</v>
      </c>
      <c r="B271" s="31">
        <f t="shared" si="10"/>
        <v>205554</v>
      </c>
      <c r="C271" s="31">
        <v>245254</v>
      </c>
      <c r="D271">
        <v>5966</v>
      </c>
      <c r="E271" s="97">
        <f>[4]EvapRates!$D$16*'FlamingGorge-Elevation-Area'!D271</f>
        <v>12528.599999999999</v>
      </c>
      <c r="F271" s="3">
        <v>267</v>
      </c>
      <c r="H271" s="98">
        <f t="shared" si="12"/>
        <v>245254</v>
      </c>
      <c r="I271" s="99">
        <f t="shared" si="11"/>
        <v>5873</v>
      </c>
      <c r="J271">
        <v>245254</v>
      </c>
      <c r="N271" s="80">
        <f t="shared" si="15"/>
        <v>5900</v>
      </c>
      <c r="O271" s="80" cm="1">
        <f t="array" ref="O271">LinInterp(N271,I11:I631,J11:J631)</f>
        <v>453350</v>
      </c>
      <c r="P271" s="80">
        <f t="shared" si="13"/>
        <v>5900</v>
      </c>
      <c r="R271" s="80">
        <f t="shared" si="16"/>
        <v>5873</v>
      </c>
      <c r="S271">
        <f t="shared" si="14"/>
        <v>245254</v>
      </c>
      <c r="T271" s="80">
        <f t="shared" si="17"/>
        <v>5873</v>
      </c>
    </row>
    <row r="272" spans="1:20" x14ac:dyDescent="0.25">
      <c r="A272" s="91">
        <v>5873.5</v>
      </c>
      <c r="B272" s="31">
        <f t="shared" si="10"/>
        <v>208553.5</v>
      </c>
      <c r="C272" s="31">
        <v>248253.5</v>
      </c>
      <c r="D272">
        <v>6032</v>
      </c>
      <c r="E272" s="97">
        <f>[4]EvapRates!$D$16*'FlamingGorge-Elevation-Area'!D272</f>
        <v>12667.199999999997</v>
      </c>
      <c r="F272" s="3">
        <v>268</v>
      </c>
      <c r="H272" s="98">
        <f t="shared" si="12"/>
        <v>248253.5</v>
      </c>
      <c r="I272" s="99">
        <f t="shared" si="11"/>
        <v>5873.5</v>
      </c>
      <c r="J272">
        <v>248253.5</v>
      </c>
      <c r="N272" s="80">
        <f t="shared" si="15"/>
        <v>5905</v>
      </c>
      <c r="O272" s="80" cm="1">
        <f t="array" ref="O272">LinInterp(N272,I12:I632,J12:J632)</f>
        <v>503137.5</v>
      </c>
      <c r="P272" s="80">
        <f t="shared" si="13"/>
        <v>5905</v>
      </c>
      <c r="R272" s="80">
        <f t="shared" si="16"/>
        <v>5873.5</v>
      </c>
      <c r="S272">
        <f t="shared" si="14"/>
        <v>248253.5</v>
      </c>
      <c r="T272" s="80">
        <f t="shared" si="17"/>
        <v>5873.5</v>
      </c>
    </row>
    <row r="273" spans="1:20" x14ac:dyDescent="0.25">
      <c r="A273" s="91">
        <v>5874</v>
      </c>
      <c r="B273" s="31">
        <f t="shared" si="10"/>
        <v>211586</v>
      </c>
      <c r="C273" s="31">
        <v>251286</v>
      </c>
      <c r="D273">
        <v>6098</v>
      </c>
      <c r="E273" s="97">
        <f>[4]EvapRates!$D$16*'FlamingGorge-Elevation-Area'!D273</f>
        <v>12805.799999999997</v>
      </c>
      <c r="F273" s="3">
        <v>269</v>
      </c>
      <c r="H273" s="98">
        <f t="shared" si="12"/>
        <v>251286</v>
      </c>
      <c r="I273" s="99">
        <f t="shared" si="11"/>
        <v>5874</v>
      </c>
      <c r="J273">
        <v>251286</v>
      </c>
      <c r="N273" s="80">
        <f t="shared" si="15"/>
        <v>5910</v>
      </c>
      <c r="O273" s="80" cm="1">
        <f t="array" ref="O273">LinInterp(N273,I13:I633,J13:J633)</f>
        <v>556800</v>
      </c>
      <c r="P273" s="80">
        <f t="shared" si="13"/>
        <v>5910</v>
      </c>
      <c r="R273" s="80">
        <f t="shared" si="16"/>
        <v>5874</v>
      </c>
      <c r="S273">
        <f t="shared" si="14"/>
        <v>251286</v>
      </c>
      <c r="T273" s="80">
        <f t="shared" si="17"/>
        <v>5874</v>
      </c>
    </row>
    <row r="274" spans="1:20" x14ac:dyDescent="0.25">
      <c r="A274" s="91">
        <v>5874.5</v>
      </c>
      <c r="B274" s="31">
        <f t="shared" si="10"/>
        <v>214651.5</v>
      </c>
      <c r="C274" s="31">
        <v>254351.5</v>
      </c>
      <c r="D274">
        <v>6164</v>
      </c>
      <c r="E274" s="97">
        <f>[4]EvapRates!$D$16*'FlamingGorge-Elevation-Area'!D274</f>
        <v>12944.399999999998</v>
      </c>
      <c r="F274" s="3">
        <v>270</v>
      </c>
      <c r="H274" s="98">
        <f t="shared" si="12"/>
        <v>254351.5</v>
      </c>
      <c r="I274" s="99">
        <f t="shared" si="11"/>
        <v>5874.5</v>
      </c>
      <c r="J274">
        <v>254351.5</v>
      </c>
      <c r="N274" s="80">
        <f t="shared" si="15"/>
        <v>5915</v>
      </c>
      <c r="O274" s="80" cm="1">
        <f t="array" ref="O274">LinInterp(N274,I14:I634,J14:J634)</f>
        <v>614162.5</v>
      </c>
      <c r="P274" s="80">
        <f t="shared" si="13"/>
        <v>5915</v>
      </c>
      <c r="R274" s="80">
        <f t="shared" si="16"/>
        <v>5874.5</v>
      </c>
      <c r="S274">
        <f t="shared" si="14"/>
        <v>254351.5</v>
      </c>
      <c r="T274" s="80">
        <f t="shared" si="17"/>
        <v>5874.5</v>
      </c>
    </row>
    <row r="275" spans="1:20" x14ac:dyDescent="0.25">
      <c r="A275" s="91">
        <v>5875</v>
      </c>
      <c r="B275" s="31">
        <f t="shared" si="10"/>
        <v>217750</v>
      </c>
      <c r="C275" s="31">
        <v>257450</v>
      </c>
      <c r="D275">
        <v>6230</v>
      </c>
      <c r="E275" s="97">
        <f>[4]EvapRates!$D$16*'FlamingGorge-Elevation-Area'!D275</f>
        <v>13082.999999999998</v>
      </c>
      <c r="F275" s="3">
        <v>271</v>
      </c>
      <c r="H275" s="98">
        <f t="shared" si="12"/>
        <v>257450</v>
      </c>
      <c r="I275" s="99">
        <f t="shared" si="11"/>
        <v>5875</v>
      </c>
      <c r="J275">
        <v>257450</v>
      </c>
      <c r="N275" s="80">
        <f t="shared" si="15"/>
        <v>5920</v>
      </c>
      <c r="O275" s="80" cm="1">
        <f t="array" ref="O275">LinInterp(N275,I15:I635,J15:J635)</f>
        <v>675050</v>
      </c>
      <c r="P275" s="80">
        <f t="shared" si="13"/>
        <v>5920</v>
      </c>
      <c r="R275" s="80">
        <f t="shared" si="16"/>
        <v>5875</v>
      </c>
      <c r="S275">
        <f t="shared" si="14"/>
        <v>257450</v>
      </c>
      <c r="T275" s="80">
        <f t="shared" si="17"/>
        <v>5875</v>
      </c>
    </row>
    <row r="276" spans="1:20" x14ac:dyDescent="0.25">
      <c r="A276" s="91">
        <v>5875.5</v>
      </c>
      <c r="B276" s="31">
        <f t="shared" si="10"/>
        <v>220881.5</v>
      </c>
      <c r="C276" s="31">
        <v>260581.5</v>
      </c>
      <c r="D276">
        <v>6296</v>
      </c>
      <c r="E276" s="97">
        <f>[4]EvapRates!$D$16*'FlamingGorge-Elevation-Area'!D276</f>
        <v>13221.599999999999</v>
      </c>
      <c r="F276" s="3">
        <v>272</v>
      </c>
      <c r="H276" s="98">
        <f t="shared" si="12"/>
        <v>260581.5</v>
      </c>
      <c r="I276" s="99">
        <f t="shared" si="11"/>
        <v>5875.5</v>
      </c>
      <c r="J276">
        <v>260581.5</v>
      </c>
      <c r="N276" s="80">
        <f t="shared" si="15"/>
        <v>5925</v>
      </c>
      <c r="O276" s="80" cm="1">
        <f t="array" ref="O276">LinInterp(N276,I16:I636,J16:J636)</f>
        <v>739825</v>
      </c>
      <c r="P276" s="80">
        <f t="shared" si="13"/>
        <v>5925</v>
      </c>
      <c r="R276" s="80">
        <f t="shared" si="16"/>
        <v>5875.5</v>
      </c>
      <c r="S276">
        <f t="shared" si="14"/>
        <v>260581.5</v>
      </c>
      <c r="T276" s="80">
        <f t="shared" si="17"/>
        <v>5875.5</v>
      </c>
    </row>
    <row r="277" spans="1:20" x14ac:dyDescent="0.25">
      <c r="A277" s="91">
        <v>5876</v>
      </c>
      <c r="B277" s="31">
        <f t="shared" si="10"/>
        <v>224046</v>
      </c>
      <c r="C277" s="31">
        <v>263746</v>
      </c>
      <c r="D277">
        <v>6362</v>
      </c>
      <c r="E277" s="97">
        <f>[4]EvapRates!$D$16*'FlamingGorge-Elevation-Area'!D277</f>
        <v>13360.199999999997</v>
      </c>
      <c r="F277" s="3">
        <v>273</v>
      </c>
      <c r="H277" s="98">
        <f t="shared" si="12"/>
        <v>263746</v>
      </c>
      <c r="I277" s="99">
        <f t="shared" si="11"/>
        <v>5876</v>
      </c>
      <c r="J277">
        <v>263746</v>
      </c>
      <c r="N277" s="80">
        <f t="shared" si="15"/>
        <v>5930</v>
      </c>
      <c r="O277" s="80" cm="1">
        <f t="array" ref="O277">LinInterp(N277,I17:I637,J17:J637)</f>
        <v>808850</v>
      </c>
      <c r="P277" s="80">
        <f t="shared" si="13"/>
        <v>5930</v>
      </c>
      <c r="R277" s="80">
        <f t="shared" si="16"/>
        <v>5876</v>
      </c>
      <c r="S277">
        <f t="shared" si="14"/>
        <v>263746</v>
      </c>
      <c r="T277" s="80">
        <f t="shared" si="17"/>
        <v>5876</v>
      </c>
    </row>
    <row r="278" spans="1:20" x14ac:dyDescent="0.25">
      <c r="A278" s="91">
        <v>5876.5</v>
      </c>
      <c r="B278" s="31">
        <f t="shared" si="10"/>
        <v>227243.5</v>
      </c>
      <c r="C278" s="31">
        <v>266943.5</v>
      </c>
      <c r="D278">
        <v>6428</v>
      </c>
      <c r="E278" s="97">
        <f>[4]EvapRates!$D$16*'FlamingGorge-Elevation-Area'!D278</f>
        <v>13498.799999999997</v>
      </c>
      <c r="F278" s="3">
        <v>274</v>
      </c>
      <c r="H278" s="98">
        <f t="shared" si="12"/>
        <v>266943.5</v>
      </c>
      <c r="I278" s="99">
        <f t="shared" si="11"/>
        <v>5876.5</v>
      </c>
      <c r="J278">
        <v>266943.5</v>
      </c>
      <c r="N278" s="80">
        <f t="shared" si="15"/>
        <v>5935</v>
      </c>
      <c r="O278" s="80" cm="1">
        <f t="array" ref="O278">LinInterp(N278,I18:I638,J18:J638)</f>
        <v>882687.5</v>
      </c>
      <c r="P278" s="80">
        <f t="shared" si="13"/>
        <v>5935</v>
      </c>
      <c r="R278" s="80">
        <f t="shared" si="16"/>
        <v>5876.5</v>
      </c>
      <c r="S278">
        <f t="shared" si="14"/>
        <v>266943.5</v>
      </c>
      <c r="T278" s="80">
        <f t="shared" si="17"/>
        <v>5876.5</v>
      </c>
    </row>
    <row r="279" spans="1:20" x14ac:dyDescent="0.25">
      <c r="A279" s="91">
        <v>5877</v>
      </c>
      <c r="B279" s="31">
        <f t="shared" si="10"/>
        <v>230474</v>
      </c>
      <c r="C279" s="31">
        <v>270174</v>
      </c>
      <c r="D279">
        <v>6494</v>
      </c>
      <c r="E279" s="97">
        <f>[4]EvapRates!$D$16*'FlamingGorge-Elevation-Area'!D279</f>
        <v>13637.399999999998</v>
      </c>
      <c r="F279" s="3">
        <v>275</v>
      </c>
      <c r="H279" s="98">
        <f t="shared" si="12"/>
        <v>270174</v>
      </c>
      <c r="I279" s="99">
        <f t="shared" si="11"/>
        <v>5877</v>
      </c>
      <c r="J279">
        <v>270174</v>
      </c>
      <c r="N279" s="80">
        <f t="shared" si="15"/>
        <v>5940</v>
      </c>
      <c r="O279" s="80" cm="1">
        <f t="array" ref="O279">LinInterp(N279,I19:I639,J19:J639)</f>
        <v>961900</v>
      </c>
      <c r="P279" s="80">
        <f t="shared" si="13"/>
        <v>5940</v>
      </c>
      <c r="R279" s="80">
        <f t="shared" si="16"/>
        <v>5877</v>
      </c>
      <c r="S279">
        <f t="shared" si="14"/>
        <v>270174</v>
      </c>
      <c r="T279" s="80">
        <f t="shared" si="17"/>
        <v>5877</v>
      </c>
    </row>
    <row r="280" spans="1:20" x14ac:dyDescent="0.25">
      <c r="A280" s="91">
        <v>5877.5</v>
      </c>
      <c r="B280" s="31">
        <f t="shared" si="10"/>
        <v>233737.5</v>
      </c>
      <c r="C280" s="31">
        <v>273437.5</v>
      </c>
      <c r="D280">
        <v>6560</v>
      </c>
      <c r="E280" s="97">
        <f>[4]EvapRates!$D$16*'FlamingGorge-Elevation-Area'!D280</f>
        <v>13775.999999999998</v>
      </c>
      <c r="F280" s="3">
        <v>276</v>
      </c>
      <c r="H280" s="98">
        <f t="shared" si="12"/>
        <v>273437.5</v>
      </c>
      <c r="I280" s="99">
        <f t="shared" si="11"/>
        <v>5877.5</v>
      </c>
      <c r="J280">
        <v>273437.5</v>
      </c>
      <c r="N280" s="80">
        <f t="shared" si="15"/>
        <v>5945</v>
      </c>
      <c r="O280" s="80" cm="1">
        <f t="array" ref="O280">LinInterp(N280,I20:I640,J20:J640)</f>
        <v>1046450</v>
      </c>
      <c r="P280" s="80">
        <f t="shared" si="13"/>
        <v>5945</v>
      </c>
      <c r="R280" s="80">
        <f t="shared" si="16"/>
        <v>5877.5</v>
      </c>
      <c r="S280">
        <f t="shared" si="14"/>
        <v>273437.5</v>
      </c>
      <c r="T280" s="80">
        <f t="shared" si="17"/>
        <v>5877.5</v>
      </c>
    </row>
    <row r="281" spans="1:20" x14ac:dyDescent="0.25">
      <c r="A281" s="91">
        <v>5878</v>
      </c>
      <c r="B281" s="31">
        <f t="shared" si="10"/>
        <v>237034</v>
      </c>
      <c r="C281" s="31">
        <v>276734</v>
      </c>
      <c r="D281">
        <v>6626</v>
      </c>
      <c r="E281" s="97">
        <f>[4]EvapRates!$D$16*'FlamingGorge-Elevation-Area'!D281</f>
        <v>13914.599999999999</v>
      </c>
      <c r="F281" s="3">
        <v>277</v>
      </c>
      <c r="H281" s="98">
        <f t="shared" si="12"/>
        <v>276734</v>
      </c>
      <c r="I281" s="99">
        <f t="shared" si="11"/>
        <v>5878</v>
      </c>
      <c r="J281">
        <v>276734</v>
      </c>
      <c r="N281" s="80">
        <f t="shared" si="15"/>
        <v>5950</v>
      </c>
      <c r="O281" s="80" cm="1">
        <f t="array" ref="O281">LinInterp(N281,I21:I641,J21:J641)</f>
        <v>1136300</v>
      </c>
      <c r="P281" s="80">
        <f t="shared" si="13"/>
        <v>5950</v>
      </c>
      <c r="R281" s="80">
        <f t="shared" si="16"/>
        <v>5878</v>
      </c>
      <c r="S281">
        <f t="shared" si="14"/>
        <v>276734</v>
      </c>
      <c r="T281" s="80">
        <f t="shared" si="17"/>
        <v>5878</v>
      </c>
    </row>
    <row r="282" spans="1:20" x14ac:dyDescent="0.25">
      <c r="A282" s="91">
        <v>5878.5</v>
      </c>
      <c r="B282" s="31">
        <f t="shared" si="10"/>
        <v>240363.5</v>
      </c>
      <c r="C282" s="31">
        <v>280063.5</v>
      </c>
      <c r="D282">
        <v>6692</v>
      </c>
      <c r="E282" s="97">
        <f>[4]EvapRates!$D$16*'FlamingGorge-Elevation-Area'!D282</f>
        <v>14053.199999999997</v>
      </c>
      <c r="F282" s="3">
        <v>278</v>
      </c>
      <c r="H282" s="98">
        <f t="shared" si="12"/>
        <v>280063.5</v>
      </c>
      <c r="I282" s="99">
        <f t="shared" si="11"/>
        <v>5878.5</v>
      </c>
      <c r="J282">
        <v>280063.5</v>
      </c>
      <c r="N282" s="80">
        <f t="shared" si="15"/>
        <v>5955</v>
      </c>
      <c r="O282" s="80" cm="1">
        <f t="array" ref="O282">LinInterp(N282,I22:I642,J22:J642)</f>
        <v>1231225</v>
      </c>
      <c r="P282" s="80">
        <f t="shared" si="13"/>
        <v>5955</v>
      </c>
      <c r="R282" s="80">
        <f t="shared" si="16"/>
        <v>5878.5</v>
      </c>
      <c r="S282">
        <f t="shared" si="14"/>
        <v>280063.5</v>
      </c>
      <c r="T282" s="80">
        <f t="shared" si="17"/>
        <v>5878.5</v>
      </c>
    </row>
    <row r="283" spans="1:20" x14ac:dyDescent="0.25">
      <c r="A283" s="91">
        <v>5879</v>
      </c>
      <c r="B283" s="31">
        <f t="shared" si="10"/>
        <v>243726</v>
      </c>
      <c r="C283" s="31">
        <v>283426</v>
      </c>
      <c r="D283">
        <v>6758</v>
      </c>
      <c r="E283" s="97">
        <f>[4]EvapRates!$D$16*'FlamingGorge-Elevation-Area'!D283</f>
        <v>14191.799999999997</v>
      </c>
      <c r="F283" s="3">
        <v>279</v>
      </c>
      <c r="H283" s="98">
        <f t="shared" si="12"/>
        <v>283426</v>
      </c>
      <c r="I283" s="99">
        <f t="shared" si="11"/>
        <v>5879</v>
      </c>
      <c r="J283">
        <v>283426</v>
      </c>
      <c r="N283" s="80">
        <f t="shared" si="15"/>
        <v>5960</v>
      </c>
      <c r="O283" s="80" cm="1">
        <f t="array" ref="O283">LinInterp(N283,I23:I643,J23:J643)</f>
        <v>1331000</v>
      </c>
      <c r="P283" s="80">
        <f t="shared" si="13"/>
        <v>5960</v>
      </c>
      <c r="R283" s="80">
        <f t="shared" si="16"/>
        <v>5879</v>
      </c>
      <c r="S283">
        <f t="shared" si="14"/>
        <v>283426</v>
      </c>
      <c r="T283" s="80">
        <f t="shared" si="17"/>
        <v>5879</v>
      </c>
    </row>
    <row r="284" spans="1:20" x14ac:dyDescent="0.25">
      <c r="A284" s="91">
        <v>5879.5</v>
      </c>
      <c r="B284" s="31">
        <f t="shared" si="10"/>
        <v>247121.5</v>
      </c>
      <c r="C284" s="31">
        <v>286821.5</v>
      </c>
      <c r="D284">
        <v>6824</v>
      </c>
      <c r="E284" s="97">
        <f>[4]EvapRates!$D$16*'FlamingGorge-Elevation-Area'!D284</f>
        <v>14330.399999999998</v>
      </c>
      <c r="F284" s="3">
        <v>280</v>
      </c>
      <c r="H284" s="98">
        <f t="shared" si="12"/>
        <v>286821.5</v>
      </c>
      <c r="I284" s="99">
        <f t="shared" si="11"/>
        <v>5879.5</v>
      </c>
      <c r="J284">
        <v>286821.5</v>
      </c>
      <c r="N284" s="80">
        <f t="shared" si="15"/>
        <v>5965</v>
      </c>
      <c r="O284" s="80" cm="1">
        <f t="array" ref="O284">LinInterp(N284,I24:I644,J24:J644)</f>
        <v>1435625</v>
      </c>
      <c r="P284" s="80">
        <f t="shared" si="13"/>
        <v>5965</v>
      </c>
      <c r="R284" s="80">
        <f t="shared" si="16"/>
        <v>5879.5</v>
      </c>
      <c r="S284">
        <f t="shared" si="14"/>
        <v>286821.5</v>
      </c>
      <c r="T284" s="80">
        <f t="shared" si="17"/>
        <v>5879.5</v>
      </c>
    </row>
    <row r="285" spans="1:20" x14ac:dyDescent="0.25">
      <c r="A285" s="91">
        <v>5880</v>
      </c>
      <c r="B285" s="31">
        <f t="shared" si="10"/>
        <v>250550</v>
      </c>
      <c r="C285" s="31">
        <v>290250</v>
      </c>
      <c r="D285">
        <v>6890</v>
      </c>
      <c r="E285" s="97">
        <f>[4]EvapRates!$D$16*'FlamingGorge-Elevation-Area'!D285</f>
        <v>14468.999999999998</v>
      </c>
      <c r="F285" s="3">
        <v>281</v>
      </c>
      <c r="H285" s="98">
        <f t="shared" si="12"/>
        <v>290250</v>
      </c>
      <c r="I285" s="99">
        <f t="shared" si="11"/>
        <v>5880</v>
      </c>
      <c r="J285">
        <v>290250</v>
      </c>
      <c r="N285" s="80">
        <f t="shared" si="15"/>
        <v>5970</v>
      </c>
      <c r="O285" s="80" cm="1">
        <f t="array" ref="O285">LinInterp(N285,I25:I645,J25:J645)</f>
        <v>1545100</v>
      </c>
      <c r="P285" s="80">
        <f t="shared" si="13"/>
        <v>5970</v>
      </c>
      <c r="R285" s="80">
        <f t="shared" si="16"/>
        <v>5880</v>
      </c>
      <c r="S285">
        <f t="shared" si="14"/>
        <v>290250</v>
      </c>
      <c r="T285" s="80">
        <f t="shared" si="17"/>
        <v>5880</v>
      </c>
    </row>
    <row r="286" spans="1:20" x14ac:dyDescent="0.25">
      <c r="A286" s="91">
        <v>5880.5</v>
      </c>
      <c r="B286" s="31">
        <f t="shared" si="10"/>
        <v>254009.88</v>
      </c>
      <c r="C286" s="31">
        <v>293709.88</v>
      </c>
      <c r="D286">
        <v>6949.5</v>
      </c>
      <c r="E286" s="97">
        <f>[4]EvapRates!$D$16*'FlamingGorge-Elevation-Area'!D286</f>
        <v>14593.949999999997</v>
      </c>
      <c r="F286" s="3">
        <v>282</v>
      </c>
      <c r="H286" s="98">
        <f t="shared" si="12"/>
        <v>293709.88</v>
      </c>
      <c r="I286" s="99">
        <f t="shared" si="11"/>
        <v>5880.5</v>
      </c>
      <c r="J286">
        <v>293709.88</v>
      </c>
      <c r="N286" s="80">
        <f t="shared" si="15"/>
        <v>5975</v>
      </c>
      <c r="O286" s="80" cm="1">
        <f t="array" ref="O286">LinInterp(N286,I26:I646,J26:J646)</f>
        <v>1660312.5</v>
      </c>
      <c r="P286" s="80">
        <f t="shared" si="13"/>
        <v>5975</v>
      </c>
      <c r="R286" s="80">
        <f t="shared" si="16"/>
        <v>5880.5</v>
      </c>
      <c r="S286">
        <f t="shared" si="14"/>
        <v>293709.88</v>
      </c>
      <c r="T286" s="80">
        <f t="shared" si="17"/>
        <v>5880.5</v>
      </c>
    </row>
    <row r="287" spans="1:20" x14ac:dyDescent="0.25">
      <c r="A287" s="91">
        <v>5881</v>
      </c>
      <c r="B287" s="31">
        <f t="shared" ref="B287:B350" si="18">C287-39700</f>
        <v>257499.5</v>
      </c>
      <c r="C287" s="31">
        <v>297199.5</v>
      </c>
      <c r="D287">
        <v>7009</v>
      </c>
      <c r="E287" s="97">
        <f>[4]EvapRates!$D$16*'FlamingGorge-Elevation-Area'!D287</f>
        <v>14718.899999999998</v>
      </c>
      <c r="F287" s="3">
        <v>283</v>
      </c>
      <c r="H287" s="98">
        <f t="shared" si="12"/>
        <v>297199.5</v>
      </c>
      <c r="I287" s="99">
        <f t="shared" si="11"/>
        <v>5881</v>
      </c>
      <c r="J287">
        <v>297199.5</v>
      </c>
      <c r="N287" s="80">
        <f t="shared" si="15"/>
        <v>5980</v>
      </c>
      <c r="O287" s="80" cm="1">
        <f t="array" ref="O287">LinInterp(N287,I27:I647,J27:J647)</f>
        <v>1782150</v>
      </c>
      <c r="P287" s="80">
        <f t="shared" si="13"/>
        <v>5980</v>
      </c>
      <c r="R287" s="80">
        <f t="shared" si="16"/>
        <v>5881</v>
      </c>
      <c r="S287">
        <f t="shared" si="14"/>
        <v>297199.5</v>
      </c>
      <c r="T287" s="80">
        <f t="shared" si="17"/>
        <v>5881</v>
      </c>
    </row>
    <row r="288" spans="1:20" x14ac:dyDescent="0.25">
      <c r="A288" s="91">
        <v>5881.5</v>
      </c>
      <c r="B288" s="31">
        <f t="shared" si="18"/>
        <v>261018.88</v>
      </c>
      <c r="C288" s="31">
        <v>300718.88</v>
      </c>
      <c r="D288">
        <v>7068.5</v>
      </c>
      <c r="E288" s="97">
        <f>[4]EvapRates!$D$16*'FlamingGorge-Elevation-Area'!D288</f>
        <v>14843.849999999997</v>
      </c>
      <c r="F288" s="3">
        <v>284</v>
      </c>
      <c r="H288" s="98">
        <f t="shared" si="12"/>
        <v>300718.88</v>
      </c>
      <c r="I288" s="99">
        <f t="shared" si="11"/>
        <v>5881.5</v>
      </c>
      <c r="J288">
        <v>300718.88</v>
      </c>
      <c r="N288" s="80">
        <f t="shared" si="15"/>
        <v>5985</v>
      </c>
      <c r="O288" s="80" cm="1">
        <f t="array" ref="O288">LinInterp(N288,I28:I648,J28:J648)</f>
        <v>1910125</v>
      </c>
      <c r="P288" s="80">
        <f t="shared" si="13"/>
        <v>5985</v>
      </c>
      <c r="R288" s="80">
        <f t="shared" si="16"/>
        <v>5881.5</v>
      </c>
      <c r="S288">
        <f t="shared" si="14"/>
        <v>300718.88</v>
      </c>
      <c r="T288" s="80">
        <f t="shared" si="17"/>
        <v>5881.5</v>
      </c>
    </row>
    <row r="289" spans="1:20" x14ac:dyDescent="0.25">
      <c r="A289" s="91">
        <v>5882</v>
      </c>
      <c r="B289" s="31">
        <f t="shared" si="18"/>
        <v>264568</v>
      </c>
      <c r="C289" s="31">
        <v>304268</v>
      </c>
      <c r="D289">
        <v>7128</v>
      </c>
      <c r="E289" s="97">
        <f>[4]EvapRates!$D$16*'FlamingGorge-Elevation-Area'!D289</f>
        <v>14968.799999999997</v>
      </c>
      <c r="F289" s="3">
        <v>285</v>
      </c>
      <c r="H289" s="98">
        <f t="shared" si="12"/>
        <v>304268</v>
      </c>
      <c r="I289" s="99">
        <f t="shared" si="11"/>
        <v>5882</v>
      </c>
      <c r="J289">
        <v>304268</v>
      </c>
      <c r="N289" s="80">
        <f t="shared" si="15"/>
        <v>5990</v>
      </c>
      <c r="O289" s="80" cm="1">
        <f t="array" ref="O289">LinInterp(N289,I29:I649,J29:J649)</f>
        <v>2043750</v>
      </c>
      <c r="P289" s="80">
        <f t="shared" si="13"/>
        <v>5990</v>
      </c>
      <c r="R289" s="80">
        <f t="shared" si="16"/>
        <v>5882</v>
      </c>
      <c r="S289">
        <f t="shared" si="14"/>
        <v>304268</v>
      </c>
      <c r="T289" s="80">
        <f t="shared" si="17"/>
        <v>5882</v>
      </c>
    </row>
    <row r="290" spans="1:20" x14ac:dyDescent="0.25">
      <c r="A290" s="91">
        <v>5882.5</v>
      </c>
      <c r="B290" s="31">
        <f t="shared" si="18"/>
        <v>268146.88</v>
      </c>
      <c r="C290" s="31">
        <v>307846.88</v>
      </c>
      <c r="D290">
        <v>7187.5</v>
      </c>
      <c r="E290" s="97">
        <f>[4]EvapRates!$D$16*'FlamingGorge-Elevation-Area'!D290</f>
        <v>15093.749999999998</v>
      </c>
      <c r="F290" s="3">
        <v>286</v>
      </c>
      <c r="H290" s="98">
        <f t="shared" si="12"/>
        <v>307846.88</v>
      </c>
      <c r="I290" s="99">
        <f t="shared" si="11"/>
        <v>5882.5</v>
      </c>
      <c r="J290">
        <v>307846.88</v>
      </c>
      <c r="N290" s="80">
        <f t="shared" si="15"/>
        <v>5995</v>
      </c>
      <c r="O290" s="80" cm="1">
        <f t="array" ref="O290">LinInterp(N290,I30:I650,J30:J650)</f>
        <v>2183475</v>
      </c>
      <c r="P290" s="80">
        <f t="shared" si="13"/>
        <v>5995</v>
      </c>
      <c r="R290" s="80">
        <f t="shared" si="16"/>
        <v>5882.5</v>
      </c>
      <c r="S290">
        <f t="shared" si="14"/>
        <v>307846.88</v>
      </c>
      <c r="T290" s="80">
        <f t="shared" si="17"/>
        <v>5882.5</v>
      </c>
    </row>
    <row r="291" spans="1:20" x14ac:dyDescent="0.25">
      <c r="A291" s="91">
        <v>5883</v>
      </c>
      <c r="B291" s="31">
        <f t="shared" si="18"/>
        <v>271755.5</v>
      </c>
      <c r="C291" s="31">
        <v>311455.5</v>
      </c>
      <c r="D291">
        <v>7247</v>
      </c>
      <c r="E291" s="97">
        <f>[4]EvapRates!$D$16*'FlamingGorge-Elevation-Area'!D291</f>
        <v>15218.699999999997</v>
      </c>
      <c r="F291" s="3">
        <v>287</v>
      </c>
      <c r="H291" s="98">
        <f t="shared" si="12"/>
        <v>311455.5</v>
      </c>
      <c r="I291" s="99">
        <f t="shared" si="11"/>
        <v>5883</v>
      </c>
      <c r="J291">
        <v>311455.5</v>
      </c>
      <c r="N291" s="80">
        <f>N290+5</f>
        <v>6000</v>
      </c>
      <c r="O291" s="80" cm="1">
        <f t="array" ref="O291">LinInterp(N291,I31:I651,J31:J651)</f>
        <v>2329750</v>
      </c>
      <c r="P291" s="80">
        <f t="shared" si="13"/>
        <v>6000</v>
      </c>
      <c r="R291" s="80">
        <f t="shared" si="16"/>
        <v>5883</v>
      </c>
      <c r="S291">
        <f t="shared" si="14"/>
        <v>311455.5</v>
      </c>
      <c r="T291" s="80">
        <f t="shared" si="17"/>
        <v>5883</v>
      </c>
    </row>
    <row r="292" spans="1:20" x14ac:dyDescent="0.25">
      <c r="A292" s="91">
        <v>5883.5</v>
      </c>
      <c r="B292" s="31">
        <f t="shared" si="18"/>
        <v>275393.88</v>
      </c>
      <c r="C292" s="31">
        <v>315093.88</v>
      </c>
      <c r="D292">
        <v>7306.5</v>
      </c>
      <c r="E292" s="97">
        <f>[4]EvapRates!$D$16*'FlamingGorge-Elevation-Area'!D292</f>
        <v>15343.649999999998</v>
      </c>
      <c r="F292" s="3">
        <v>288</v>
      </c>
      <c r="H292" s="98">
        <f t="shared" si="12"/>
        <v>315093.88</v>
      </c>
      <c r="I292" s="99">
        <f t="shared" si="11"/>
        <v>5883.5</v>
      </c>
      <c r="J292">
        <v>315093.88</v>
      </c>
      <c r="N292" s="80">
        <f t="shared" si="15"/>
        <v>6005</v>
      </c>
      <c r="O292" s="80" cm="1">
        <f t="array" ref="O292">LinInterp(N292,I32:I652,J32:J652)</f>
        <v>2482387.5</v>
      </c>
      <c r="P292" s="80">
        <f t="shared" si="13"/>
        <v>6005</v>
      </c>
      <c r="R292" s="80">
        <f t="shared" si="16"/>
        <v>5883.5</v>
      </c>
      <c r="S292">
        <f t="shared" si="14"/>
        <v>315093.88</v>
      </c>
      <c r="T292" s="80">
        <f t="shared" si="17"/>
        <v>5883.5</v>
      </c>
    </row>
    <row r="293" spans="1:20" x14ac:dyDescent="0.25">
      <c r="A293" s="91">
        <v>5884</v>
      </c>
      <c r="B293" s="31">
        <f t="shared" si="18"/>
        <v>279062</v>
      </c>
      <c r="C293" s="31">
        <v>318762</v>
      </c>
      <c r="D293">
        <v>7366</v>
      </c>
      <c r="E293" s="97">
        <f>[4]EvapRates!$D$16*'FlamingGorge-Elevation-Area'!D293</f>
        <v>15468.599999999997</v>
      </c>
      <c r="F293" s="3">
        <v>289</v>
      </c>
      <c r="H293" s="98">
        <f t="shared" si="12"/>
        <v>318762</v>
      </c>
      <c r="I293" s="99">
        <f t="shared" si="11"/>
        <v>5884</v>
      </c>
      <c r="J293">
        <v>318762</v>
      </c>
      <c r="N293" s="80">
        <f t="shared" si="15"/>
        <v>6010</v>
      </c>
      <c r="O293" s="80" cm="1">
        <f t="array" ref="O293">LinInterp(N293,I33:I653,J33:J653)</f>
        <v>2641200</v>
      </c>
      <c r="P293" s="80">
        <f t="shared" si="13"/>
        <v>6010</v>
      </c>
      <c r="R293" s="80">
        <f t="shared" si="16"/>
        <v>5884</v>
      </c>
      <c r="S293">
        <f t="shared" si="14"/>
        <v>318762</v>
      </c>
      <c r="T293" s="80">
        <f t="shared" si="17"/>
        <v>5884</v>
      </c>
    </row>
    <row r="294" spans="1:20" x14ac:dyDescent="0.25">
      <c r="A294" s="91">
        <v>5884.5</v>
      </c>
      <c r="B294" s="31">
        <f t="shared" si="18"/>
        <v>282759.88</v>
      </c>
      <c r="C294" s="31">
        <v>322459.88</v>
      </c>
      <c r="D294">
        <v>7425.5</v>
      </c>
      <c r="E294" s="97">
        <f>[4]EvapRates!$D$16*'FlamingGorge-Elevation-Area'!D294</f>
        <v>15593.549999999997</v>
      </c>
      <c r="F294" s="3">
        <v>290</v>
      </c>
      <c r="H294" s="98">
        <f t="shared" si="12"/>
        <v>322459.88</v>
      </c>
      <c r="I294" s="99">
        <f t="shared" si="11"/>
        <v>5884.5</v>
      </c>
      <c r="J294">
        <v>322459.88</v>
      </c>
      <c r="N294" s="80">
        <f t="shared" si="15"/>
        <v>6015</v>
      </c>
      <c r="O294" s="80" cm="1">
        <f t="array" ref="O294">LinInterp(N294,I34:I654,J34:J654)</f>
        <v>2806750</v>
      </c>
      <c r="P294" s="80">
        <f t="shared" si="13"/>
        <v>6015</v>
      </c>
      <c r="R294" s="80">
        <f t="shared" si="16"/>
        <v>5884.5</v>
      </c>
      <c r="S294">
        <f t="shared" si="14"/>
        <v>322459.88</v>
      </c>
      <c r="T294" s="80">
        <f t="shared" si="17"/>
        <v>5884.5</v>
      </c>
    </row>
    <row r="295" spans="1:20" x14ac:dyDescent="0.25">
      <c r="A295" s="91">
        <v>5885</v>
      </c>
      <c r="B295" s="31">
        <f t="shared" si="18"/>
        <v>286487.5</v>
      </c>
      <c r="C295" s="31">
        <v>326187.5</v>
      </c>
      <c r="D295">
        <v>7485</v>
      </c>
      <c r="E295" s="97">
        <f>[4]EvapRates!$D$16*'FlamingGorge-Elevation-Area'!D295</f>
        <v>15718.499999999998</v>
      </c>
      <c r="F295" s="3">
        <v>291</v>
      </c>
      <c r="H295" s="98">
        <f t="shared" si="12"/>
        <v>326187.5</v>
      </c>
      <c r="I295" s="99">
        <f t="shared" si="11"/>
        <v>5885</v>
      </c>
      <c r="J295">
        <v>326187.5</v>
      </c>
      <c r="N295" s="80">
        <f t="shared" si="15"/>
        <v>6020</v>
      </c>
      <c r="O295" s="80" cm="1">
        <f t="array" ref="O295">LinInterp(N295,I35:I655,J35:J655)</f>
        <v>2979600</v>
      </c>
      <c r="P295" s="80">
        <f t="shared" si="13"/>
        <v>6020</v>
      </c>
      <c r="R295" s="80">
        <f t="shared" si="16"/>
        <v>5885</v>
      </c>
      <c r="S295">
        <f t="shared" si="14"/>
        <v>326187.5</v>
      </c>
      <c r="T295" s="80">
        <f t="shared" si="17"/>
        <v>5885</v>
      </c>
    </row>
    <row r="296" spans="1:20" x14ac:dyDescent="0.25">
      <c r="A296" s="91">
        <v>5885.5</v>
      </c>
      <c r="B296" s="31">
        <f t="shared" si="18"/>
        <v>290244.88</v>
      </c>
      <c r="C296" s="31">
        <v>329944.88</v>
      </c>
      <c r="D296">
        <v>7544.5</v>
      </c>
      <c r="E296" s="97">
        <f>[4]EvapRates!$D$16*'FlamingGorge-Elevation-Area'!D296</f>
        <v>15843.449999999997</v>
      </c>
      <c r="F296" s="3">
        <v>292</v>
      </c>
      <c r="H296" s="98">
        <f t="shared" si="12"/>
        <v>329944.88</v>
      </c>
      <c r="I296" s="99">
        <f t="shared" si="11"/>
        <v>5885.5</v>
      </c>
      <c r="J296">
        <v>329944.88</v>
      </c>
      <c r="N296" s="80">
        <f t="shared" si="15"/>
        <v>6025</v>
      </c>
      <c r="O296" s="80" cm="1">
        <f t="array" ref="O296">LinInterp(N296,I36:I656,J36:J656)</f>
        <v>3160200</v>
      </c>
      <c r="P296" s="80">
        <f t="shared" si="13"/>
        <v>6025</v>
      </c>
      <c r="R296" s="80">
        <f t="shared" si="16"/>
        <v>5885.5</v>
      </c>
      <c r="S296">
        <f t="shared" si="14"/>
        <v>329944.88</v>
      </c>
      <c r="T296" s="80">
        <f t="shared" si="17"/>
        <v>5885.5</v>
      </c>
    </row>
    <row r="297" spans="1:20" x14ac:dyDescent="0.25">
      <c r="A297" s="91">
        <v>5886</v>
      </c>
      <c r="B297" s="31">
        <f t="shared" si="18"/>
        <v>294032</v>
      </c>
      <c r="C297" s="31">
        <v>333732</v>
      </c>
      <c r="D297">
        <v>7604</v>
      </c>
      <c r="E297" s="97">
        <f>[4]EvapRates!$D$16*'FlamingGorge-Elevation-Area'!D297</f>
        <v>15968.399999999998</v>
      </c>
      <c r="F297" s="3">
        <v>293</v>
      </c>
      <c r="H297" s="98">
        <f t="shared" si="12"/>
        <v>333732</v>
      </c>
      <c r="I297" s="99">
        <f t="shared" si="11"/>
        <v>5886</v>
      </c>
      <c r="J297">
        <v>333732</v>
      </c>
      <c r="N297" s="80"/>
      <c r="R297" s="80">
        <f t="shared" si="16"/>
        <v>5886</v>
      </c>
      <c r="S297">
        <f t="shared" si="14"/>
        <v>333732</v>
      </c>
      <c r="T297" s="80">
        <f t="shared" si="17"/>
        <v>5886</v>
      </c>
    </row>
    <row r="298" spans="1:20" x14ac:dyDescent="0.25">
      <c r="A298" s="91">
        <v>5886.5</v>
      </c>
      <c r="B298" s="31">
        <f t="shared" si="18"/>
        <v>297848.88</v>
      </c>
      <c r="C298" s="31">
        <v>337548.88</v>
      </c>
      <c r="D298">
        <v>7663.5</v>
      </c>
      <c r="E298" s="97">
        <f>[4]EvapRates!$D$16*'FlamingGorge-Elevation-Area'!D298</f>
        <v>16093.349999999997</v>
      </c>
      <c r="F298" s="3">
        <v>294</v>
      </c>
      <c r="H298" s="98">
        <f t="shared" si="12"/>
        <v>337548.88</v>
      </c>
      <c r="I298" s="99">
        <f t="shared" si="11"/>
        <v>5886.5</v>
      </c>
      <c r="J298">
        <v>337548.88</v>
      </c>
      <c r="N298" s="80"/>
      <c r="R298" s="80">
        <f t="shared" si="16"/>
        <v>5886.5</v>
      </c>
      <c r="S298">
        <f t="shared" si="14"/>
        <v>337548.88</v>
      </c>
      <c r="T298" s="80">
        <f t="shared" si="17"/>
        <v>5886.5</v>
      </c>
    </row>
    <row r="299" spans="1:20" x14ac:dyDescent="0.25">
      <c r="A299" s="91">
        <v>5887</v>
      </c>
      <c r="B299" s="31">
        <f t="shared" si="18"/>
        <v>301695.5</v>
      </c>
      <c r="C299" s="31">
        <v>341395.5</v>
      </c>
      <c r="D299">
        <v>7723</v>
      </c>
      <c r="E299" s="97">
        <f>[4]EvapRates!$D$16*'FlamingGorge-Elevation-Area'!D299</f>
        <v>16218.299999999997</v>
      </c>
      <c r="F299" s="3">
        <v>295</v>
      </c>
      <c r="H299" s="98">
        <f t="shared" si="12"/>
        <v>341395.5</v>
      </c>
      <c r="I299" s="99">
        <f t="shared" si="11"/>
        <v>5887</v>
      </c>
      <c r="J299">
        <v>341395.5</v>
      </c>
      <c r="N299" s="80"/>
      <c r="R299" s="80">
        <f t="shared" si="16"/>
        <v>5887</v>
      </c>
      <c r="S299">
        <f t="shared" si="14"/>
        <v>341395.5</v>
      </c>
      <c r="T299" s="80">
        <f t="shared" si="17"/>
        <v>5887</v>
      </c>
    </row>
    <row r="300" spans="1:20" x14ac:dyDescent="0.25">
      <c r="A300" s="91">
        <v>5887.5</v>
      </c>
      <c r="B300" s="31">
        <f t="shared" si="18"/>
        <v>305571.88</v>
      </c>
      <c r="C300" s="31">
        <v>345271.88</v>
      </c>
      <c r="D300">
        <v>7782.5</v>
      </c>
      <c r="E300" s="97">
        <f>[4]EvapRates!$D$16*'FlamingGorge-Elevation-Area'!D300</f>
        <v>16343.249999999996</v>
      </c>
      <c r="F300" s="3">
        <v>296</v>
      </c>
      <c r="H300" s="98">
        <f t="shared" si="12"/>
        <v>345271.88</v>
      </c>
      <c r="I300" s="99">
        <f t="shared" si="11"/>
        <v>5887.5</v>
      </c>
      <c r="J300">
        <v>345271.88</v>
      </c>
      <c r="N300" s="80"/>
      <c r="R300" s="80">
        <f t="shared" si="16"/>
        <v>5887.5</v>
      </c>
      <c r="S300">
        <f t="shared" si="14"/>
        <v>345271.88</v>
      </c>
      <c r="T300" s="80">
        <f t="shared" si="17"/>
        <v>5887.5</v>
      </c>
    </row>
    <row r="301" spans="1:20" x14ac:dyDescent="0.25">
      <c r="A301" s="91">
        <v>5888</v>
      </c>
      <c r="B301" s="31">
        <f t="shared" si="18"/>
        <v>309478</v>
      </c>
      <c r="C301" s="31">
        <v>349178</v>
      </c>
      <c r="D301">
        <v>7842</v>
      </c>
      <c r="E301" s="97">
        <f>[4]EvapRates!$D$16*'FlamingGorge-Elevation-Area'!D301</f>
        <v>16468.199999999997</v>
      </c>
      <c r="F301" s="3">
        <v>297</v>
      </c>
      <c r="H301" s="98">
        <f t="shared" si="12"/>
        <v>349178</v>
      </c>
      <c r="I301" s="99">
        <f t="shared" si="11"/>
        <v>5888</v>
      </c>
      <c r="J301">
        <v>349178</v>
      </c>
      <c r="N301" s="80"/>
      <c r="R301" s="80">
        <f t="shared" si="16"/>
        <v>5888</v>
      </c>
      <c r="S301">
        <f t="shared" si="14"/>
        <v>349178</v>
      </c>
      <c r="T301" s="80">
        <f t="shared" si="17"/>
        <v>5888</v>
      </c>
    </row>
    <row r="302" spans="1:20" x14ac:dyDescent="0.25">
      <c r="A302" s="91">
        <v>5888.5</v>
      </c>
      <c r="B302" s="31">
        <f t="shared" si="18"/>
        <v>313413.88</v>
      </c>
      <c r="C302" s="31">
        <v>353113.88</v>
      </c>
      <c r="D302">
        <v>7901.5</v>
      </c>
      <c r="E302" s="97">
        <f>[4]EvapRates!$D$16*'FlamingGorge-Elevation-Area'!D302</f>
        <v>16593.149999999998</v>
      </c>
      <c r="F302" s="3">
        <v>298</v>
      </c>
      <c r="H302" s="98">
        <f t="shared" si="12"/>
        <v>353113.88</v>
      </c>
      <c r="I302" s="99">
        <f t="shared" si="11"/>
        <v>5888.5</v>
      </c>
      <c r="J302">
        <v>353113.88</v>
      </c>
      <c r="N302" s="80"/>
      <c r="R302" s="80">
        <f t="shared" si="16"/>
        <v>5888.5</v>
      </c>
      <c r="S302">
        <f t="shared" si="14"/>
        <v>353113.88</v>
      </c>
      <c r="T302" s="80">
        <f t="shared" si="17"/>
        <v>5888.5</v>
      </c>
    </row>
    <row r="303" spans="1:20" x14ac:dyDescent="0.25">
      <c r="A303" s="91">
        <v>5889</v>
      </c>
      <c r="B303" s="31">
        <f t="shared" si="18"/>
        <v>317379.5</v>
      </c>
      <c r="C303" s="31">
        <v>357079.5</v>
      </c>
      <c r="D303">
        <v>7961</v>
      </c>
      <c r="E303" s="97">
        <f>[4]EvapRates!$D$16*'FlamingGorge-Elevation-Area'!D303</f>
        <v>16718.099999999999</v>
      </c>
      <c r="F303" s="3">
        <v>299</v>
      </c>
      <c r="H303" s="98">
        <f t="shared" si="12"/>
        <v>357079.5</v>
      </c>
      <c r="I303" s="99">
        <f t="shared" si="11"/>
        <v>5889</v>
      </c>
      <c r="J303">
        <v>357079.5</v>
      </c>
      <c r="N303" s="80"/>
      <c r="R303" s="80">
        <f t="shared" si="16"/>
        <v>5889</v>
      </c>
      <c r="S303">
        <f t="shared" si="14"/>
        <v>357079.5</v>
      </c>
      <c r="T303" s="80">
        <f t="shared" si="17"/>
        <v>5889</v>
      </c>
    </row>
    <row r="304" spans="1:20" x14ac:dyDescent="0.25">
      <c r="A304" s="91">
        <v>5889.5</v>
      </c>
      <c r="B304" s="31">
        <f t="shared" si="18"/>
        <v>321374.88</v>
      </c>
      <c r="C304" s="31">
        <v>361074.88</v>
      </c>
      <c r="D304">
        <v>8020.5</v>
      </c>
      <c r="E304" s="97">
        <f>[4]EvapRates!$D$16*'FlamingGorge-Elevation-Area'!D304</f>
        <v>16843.049999999996</v>
      </c>
      <c r="F304" s="3">
        <v>300</v>
      </c>
      <c r="H304" s="98">
        <f t="shared" si="12"/>
        <v>361074.88</v>
      </c>
      <c r="I304" s="99">
        <f t="shared" si="11"/>
        <v>5889.5</v>
      </c>
      <c r="J304">
        <v>361074.88</v>
      </c>
      <c r="N304" s="80"/>
      <c r="R304" s="80">
        <f t="shared" si="16"/>
        <v>5889.5</v>
      </c>
      <c r="S304">
        <f t="shared" si="14"/>
        <v>361074.88</v>
      </c>
      <c r="T304" s="80">
        <f t="shared" si="17"/>
        <v>5889.5</v>
      </c>
    </row>
    <row r="305" spans="1:20" x14ac:dyDescent="0.25">
      <c r="A305" s="91">
        <v>5890</v>
      </c>
      <c r="B305" s="31">
        <f t="shared" si="18"/>
        <v>325400</v>
      </c>
      <c r="C305" s="31">
        <v>365100</v>
      </c>
      <c r="D305">
        <v>8080</v>
      </c>
      <c r="E305" s="97">
        <f>[4]EvapRates!$D$16*'FlamingGorge-Elevation-Area'!D305</f>
        <v>16967.999999999996</v>
      </c>
      <c r="F305" s="3">
        <v>301</v>
      </c>
      <c r="H305" s="98">
        <f t="shared" si="12"/>
        <v>365100</v>
      </c>
      <c r="I305" s="99">
        <f t="shared" si="11"/>
        <v>5890</v>
      </c>
      <c r="J305">
        <v>365100</v>
      </c>
      <c r="N305" s="80"/>
      <c r="R305" s="80">
        <f t="shared" si="16"/>
        <v>5890</v>
      </c>
      <c r="S305">
        <f t="shared" si="14"/>
        <v>365100</v>
      </c>
      <c r="T305" s="80">
        <f t="shared" si="17"/>
        <v>5890</v>
      </c>
    </row>
    <row r="306" spans="1:20" x14ac:dyDescent="0.25">
      <c r="A306" s="91">
        <v>5890.5</v>
      </c>
      <c r="B306" s="31">
        <f t="shared" si="18"/>
        <v>329458.63</v>
      </c>
      <c r="C306" s="31">
        <v>369158.63</v>
      </c>
      <c r="D306">
        <v>8154.5</v>
      </c>
      <c r="E306" s="97">
        <f>[4]EvapRates!$D$16*'FlamingGorge-Elevation-Area'!D306</f>
        <v>17124.449999999997</v>
      </c>
      <c r="F306" s="3">
        <v>302</v>
      </c>
      <c r="H306" s="98">
        <f t="shared" si="12"/>
        <v>369158.63</v>
      </c>
      <c r="I306" s="99">
        <f t="shared" si="11"/>
        <v>5890.5</v>
      </c>
      <c r="J306">
        <v>369158.63</v>
      </c>
      <c r="N306" s="80"/>
      <c r="R306" s="80">
        <f t="shared" si="16"/>
        <v>5890.5</v>
      </c>
      <c r="S306">
        <f t="shared" si="14"/>
        <v>369158.63</v>
      </c>
      <c r="T306" s="80">
        <f t="shared" si="17"/>
        <v>5890.5</v>
      </c>
    </row>
    <row r="307" spans="1:20" x14ac:dyDescent="0.25">
      <c r="A307" s="91">
        <v>5891</v>
      </c>
      <c r="B307" s="31">
        <f t="shared" si="18"/>
        <v>333554.5</v>
      </c>
      <c r="C307" s="31">
        <v>373254.5</v>
      </c>
      <c r="D307">
        <v>8229</v>
      </c>
      <c r="E307" s="97">
        <f>[4]EvapRates!$D$16*'FlamingGorge-Elevation-Area'!D307</f>
        <v>17280.899999999998</v>
      </c>
      <c r="F307" s="3">
        <v>303</v>
      </c>
      <c r="H307" s="98">
        <f t="shared" si="12"/>
        <v>373254.5</v>
      </c>
      <c r="I307" s="99">
        <f t="shared" si="11"/>
        <v>5891</v>
      </c>
      <c r="J307">
        <v>373254.5</v>
      </c>
      <c r="N307" s="80"/>
      <c r="R307" s="80">
        <f t="shared" si="16"/>
        <v>5891</v>
      </c>
      <c r="S307">
        <f t="shared" si="14"/>
        <v>373254.5</v>
      </c>
      <c r="T307" s="80">
        <f t="shared" si="17"/>
        <v>5891</v>
      </c>
    </row>
    <row r="308" spans="1:20" x14ac:dyDescent="0.25">
      <c r="A308" s="91">
        <v>5891.5</v>
      </c>
      <c r="B308" s="31">
        <f t="shared" si="18"/>
        <v>337687.63</v>
      </c>
      <c r="C308" s="31">
        <v>377387.63</v>
      </c>
      <c r="D308">
        <v>8303.5</v>
      </c>
      <c r="E308" s="97">
        <f>[4]EvapRates!$D$16*'FlamingGorge-Elevation-Area'!D308</f>
        <v>17437.349999999999</v>
      </c>
      <c r="F308" s="3">
        <v>304</v>
      </c>
      <c r="H308" s="98">
        <f t="shared" si="12"/>
        <v>377387.63</v>
      </c>
      <c r="I308" s="99">
        <f t="shared" si="11"/>
        <v>5891.5</v>
      </c>
      <c r="J308">
        <v>377387.63</v>
      </c>
      <c r="N308" s="80"/>
      <c r="R308" s="80">
        <f t="shared" si="16"/>
        <v>5891.5</v>
      </c>
      <c r="S308">
        <f t="shared" si="14"/>
        <v>377387.63</v>
      </c>
      <c r="T308" s="80">
        <f t="shared" si="17"/>
        <v>5891.5</v>
      </c>
    </row>
    <row r="309" spans="1:20" x14ac:dyDescent="0.25">
      <c r="A309" s="91">
        <v>5892</v>
      </c>
      <c r="B309" s="31">
        <f t="shared" si="18"/>
        <v>341858</v>
      </c>
      <c r="C309" s="31">
        <v>381558</v>
      </c>
      <c r="D309">
        <v>8378</v>
      </c>
      <c r="E309" s="97">
        <f>[4]EvapRates!$D$16*'FlamingGorge-Elevation-Area'!D309</f>
        <v>17593.799999999996</v>
      </c>
      <c r="F309" s="3">
        <v>305</v>
      </c>
      <c r="H309" s="98">
        <f t="shared" si="12"/>
        <v>381558</v>
      </c>
      <c r="I309" s="99">
        <f t="shared" si="11"/>
        <v>5892</v>
      </c>
      <c r="J309">
        <v>381558</v>
      </c>
      <c r="N309" s="80"/>
      <c r="R309" s="80">
        <f t="shared" si="16"/>
        <v>5892</v>
      </c>
      <c r="S309">
        <f t="shared" si="14"/>
        <v>381558</v>
      </c>
      <c r="T309" s="80">
        <f t="shared" si="17"/>
        <v>5892</v>
      </c>
    </row>
    <row r="310" spans="1:20" x14ac:dyDescent="0.25">
      <c r="A310" s="91">
        <v>5892.5</v>
      </c>
      <c r="B310" s="31">
        <f t="shared" si="18"/>
        <v>346065.63</v>
      </c>
      <c r="C310" s="31">
        <v>385765.63</v>
      </c>
      <c r="D310">
        <v>8452.5</v>
      </c>
      <c r="E310" s="97">
        <f>[4]EvapRates!$D$16*'FlamingGorge-Elevation-Area'!D310</f>
        <v>17750.249999999996</v>
      </c>
      <c r="F310" s="3">
        <v>306</v>
      </c>
      <c r="H310" s="98">
        <f t="shared" si="12"/>
        <v>385765.63</v>
      </c>
      <c r="I310" s="99">
        <f t="shared" si="11"/>
        <v>5892.5</v>
      </c>
      <c r="J310">
        <v>385765.63</v>
      </c>
      <c r="N310" s="80"/>
      <c r="R310" s="80">
        <f t="shared" si="16"/>
        <v>5892.5</v>
      </c>
      <c r="S310">
        <f t="shared" si="14"/>
        <v>385765.63</v>
      </c>
      <c r="T310" s="80">
        <f t="shared" si="17"/>
        <v>5892.5</v>
      </c>
    </row>
    <row r="311" spans="1:20" x14ac:dyDescent="0.25">
      <c r="A311" s="91">
        <v>5893</v>
      </c>
      <c r="B311" s="31">
        <f t="shared" si="18"/>
        <v>350310.5</v>
      </c>
      <c r="C311" s="31">
        <v>390010.5</v>
      </c>
      <c r="D311">
        <v>8527</v>
      </c>
      <c r="E311" s="97">
        <f>[4]EvapRates!$D$16*'FlamingGorge-Elevation-Area'!D311</f>
        <v>17906.699999999997</v>
      </c>
      <c r="F311" s="3">
        <v>307</v>
      </c>
      <c r="H311" s="98">
        <f t="shared" si="12"/>
        <v>390010.5</v>
      </c>
      <c r="I311" s="99">
        <f t="shared" si="11"/>
        <v>5893</v>
      </c>
      <c r="J311">
        <v>390010.5</v>
      </c>
      <c r="N311" s="80"/>
      <c r="R311" s="80">
        <f t="shared" si="16"/>
        <v>5893</v>
      </c>
      <c r="S311">
        <f t="shared" si="14"/>
        <v>390010.5</v>
      </c>
      <c r="T311" s="80">
        <f t="shared" si="17"/>
        <v>5893</v>
      </c>
    </row>
    <row r="312" spans="1:20" x14ac:dyDescent="0.25">
      <c r="A312" s="91">
        <v>5893.5</v>
      </c>
      <c r="B312" s="31">
        <f t="shared" si="18"/>
        <v>354592.63</v>
      </c>
      <c r="C312" s="31">
        <v>394292.63</v>
      </c>
      <c r="D312">
        <v>8601.5</v>
      </c>
      <c r="E312" s="97">
        <f>[4]EvapRates!$D$16*'FlamingGorge-Elevation-Area'!D312</f>
        <v>18063.149999999998</v>
      </c>
      <c r="F312" s="3">
        <v>308</v>
      </c>
      <c r="H312" s="98">
        <f t="shared" si="12"/>
        <v>394292.63</v>
      </c>
      <c r="I312" s="99">
        <f t="shared" si="11"/>
        <v>5893.5</v>
      </c>
      <c r="J312">
        <v>394292.63</v>
      </c>
      <c r="N312" s="80"/>
      <c r="R312" s="80">
        <f t="shared" si="16"/>
        <v>5893.5</v>
      </c>
      <c r="S312">
        <f t="shared" si="14"/>
        <v>394292.63</v>
      </c>
      <c r="T312" s="80">
        <f t="shared" si="17"/>
        <v>5893.5</v>
      </c>
    </row>
    <row r="313" spans="1:20" x14ac:dyDescent="0.25">
      <c r="A313" s="91">
        <v>5894</v>
      </c>
      <c r="B313" s="31">
        <f t="shared" si="18"/>
        <v>358912</v>
      </c>
      <c r="C313" s="31">
        <v>398612</v>
      </c>
      <c r="D313">
        <v>8676</v>
      </c>
      <c r="E313" s="97">
        <f>[4]EvapRates!$D$16*'FlamingGorge-Elevation-Area'!D313</f>
        <v>18219.599999999999</v>
      </c>
      <c r="F313" s="3">
        <v>309</v>
      </c>
      <c r="H313" s="98">
        <f t="shared" si="12"/>
        <v>398612</v>
      </c>
      <c r="I313" s="99">
        <f t="shared" si="11"/>
        <v>5894</v>
      </c>
      <c r="J313">
        <v>398612</v>
      </c>
      <c r="N313" s="80"/>
      <c r="R313" s="80">
        <f t="shared" si="16"/>
        <v>5894</v>
      </c>
      <c r="S313">
        <f t="shared" si="14"/>
        <v>398612</v>
      </c>
      <c r="T313" s="80">
        <f t="shared" si="17"/>
        <v>5894</v>
      </c>
    </row>
    <row r="314" spans="1:20" x14ac:dyDescent="0.25">
      <c r="A314" s="91">
        <v>5894.5</v>
      </c>
      <c r="B314" s="31">
        <f t="shared" si="18"/>
        <v>363268.63</v>
      </c>
      <c r="C314" s="31">
        <v>402968.63</v>
      </c>
      <c r="D314">
        <v>8750.5</v>
      </c>
      <c r="E314" s="97">
        <f>[4]EvapRates!$D$16*'FlamingGorge-Elevation-Area'!D314</f>
        <v>18376.049999999996</v>
      </c>
      <c r="F314" s="3">
        <v>310</v>
      </c>
      <c r="H314" s="98">
        <f t="shared" si="12"/>
        <v>402968.63</v>
      </c>
      <c r="I314" s="99">
        <f t="shared" si="11"/>
        <v>5894.5</v>
      </c>
      <c r="J314">
        <v>402968.63</v>
      </c>
      <c r="N314" s="80"/>
      <c r="R314" s="80">
        <f t="shared" si="16"/>
        <v>5894.5</v>
      </c>
      <c r="S314">
        <f t="shared" si="14"/>
        <v>402968.63</v>
      </c>
      <c r="T314" s="80">
        <f t="shared" si="17"/>
        <v>5894.5</v>
      </c>
    </row>
    <row r="315" spans="1:20" x14ac:dyDescent="0.25">
      <c r="A315" s="91">
        <v>5895</v>
      </c>
      <c r="B315" s="31">
        <f t="shared" si="18"/>
        <v>367662.5</v>
      </c>
      <c r="C315" s="31">
        <v>407362.5</v>
      </c>
      <c r="D315">
        <v>8825</v>
      </c>
      <c r="E315" s="97">
        <f>[4]EvapRates!$D$16*'FlamingGorge-Elevation-Area'!D315</f>
        <v>18532.499999999996</v>
      </c>
      <c r="F315" s="3">
        <v>311</v>
      </c>
      <c r="H315" s="98">
        <f t="shared" si="12"/>
        <v>407362.5</v>
      </c>
      <c r="I315" s="99">
        <f t="shared" si="11"/>
        <v>5895</v>
      </c>
      <c r="J315">
        <v>407362.5</v>
      </c>
      <c r="N315" s="80"/>
      <c r="R315" s="80">
        <f t="shared" si="16"/>
        <v>5895</v>
      </c>
      <c r="S315">
        <f t="shared" si="14"/>
        <v>407362.5</v>
      </c>
      <c r="T315" s="80">
        <f t="shared" si="17"/>
        <v>5895</v>
      </c>
    </row>
    <row r="316" spans="1:20" x14ac:dyDescent="0.25">
      <c r="A316" s="91">
        <v>5895.5</v>
      </c>
      <c r="B316" s="31">
        <f t="shared" si="18"/>
        <v>372093.63</v>
      </c>
      <c r="C316" s="31">
        <v>411793.63</v>
      </c>
      <c r="D316">
        <v>8899.5</v>
      </c>
      <c r="E316" s="97">
        <f>[4]EvapRates!$D$16*'FlamingGorge-Elevation-Area'!D316</f>
        <v>18688.949999999997</v>
      </c>
      <c r="F316" s="3">
        <v>312</v>
      </c>
      <c r="H316" s="98">
        <f t="shared" si="12"/>
        <v>411793.63</v>
      </c>
      <c r="I316" s="99">
        <f t="shared" si="11"/>
        <v>5895.5</v>
      </c>
      <c r="J316">
        <v>411793.63</v>
      </c>
      <c r="N316" s="80"/>
      <c r="R316" s="80">
        <f t="shared" si="16"/>
        <v>5895.5</v>
      </c>
      <c r="S316">
        <f t="shared" si="14"/>
        <v>411793.63</v>
      </c>
      <c r="T316" s="80">
        <f t="shared" si="17"/>
        <v>5895.5</v>
      </c>
    </row>
    <row r="317" spans="1:20" x14ac:dyDescent="0.25">
      <c r="A317" s="91">
        <v>5896</v>
      </c>
      <c r="B317" s="31">
        <f t="shared" si="18"/>
        <v>376562</v>
      </c>
      <c r="C317" s="31">
        <v>416262</v>
      </c>
      <c r="D317">
        <v>8974</v>
      </c>
      <c r="E317" s="97">
        <f>[4]EvapRates!$D$16*'FlamingGorge-Elevation-Area'!D317</f>
        <v>18845.399999999998</v>
      </c>
      <c r="F317" s="3">
        <v>313</v>
      </c>
      <c r="H317" s="98">
        <f t="shared" si="12"/>
        <v>416262</v>
      </c>
      <c r="I317" s="99">
        <f t="shared" si="11"/>
        <v>5896</v>
      </c>
      <c r="J317">
        <v>416262</v>
      </c>
      <c r="N317" s="80"/>
      <c r="R317" s="80">
        <f t="shared" si="16"/>
        <v>5896</v>
      </c>
      <c r="S317">
        <f t="shared" si="14"/>
        <v>416262</v>
      </c>
      <c r="T317" s="80">
        <f t="shared" si="17"/>
        <v>5896</v>
      </c>
    </row>
    <row r="318" spans="1:20" x14ac:dyDescent="0.25">
      <c r="A318" s="91">
        <v>5896.5</v>
      </c>
      <c r="B318" s="31">
        <f t="shared" si="18"/>
        <v>381067.63</v>
      </c>
      <c r="C318" s="31">
        <v>420767.63</v>
      </c>
      <c r="D318">
        <v>9048.5</v>
      </c>
      <c r="E318" s="97">
        <f>[4]EvapRates!$D$16*'FlamingGorge-Elevation-Area'!D318</f>
        <v>19001.849999999999</v>
      </c>
      <c r="F318" s="3">
        <v>314</v>
      </c>
      <c r="H318" s="98">
        <f t="shared" si="12"/>
        <v>420767.63</v>
      </c>
      <c r="I318" s="99">
        <f t="shared" si="11"/>
        <v>5896.5</v>
      </c>
      <c r="J318">
        <v>420767.63</v>
      </c>
      <c r="N318" s="80"/>
      <c r="R318" s="80">
        <f t="shared" si="16"/>
        <v>5896.5</v>
      </c>
      <c r="S318">
        <f t="shared" si="14"/>
        <v>420767.63</v>
      </c>
      <c r="T318" s="80">
        <f t="shared" si="17"/>
        <v>5896.5</v>
      </c>
    </row>
    <row r="319" spans="1:20" x14ac:dyDescent="0.25">
      <c r="A319" s="91">
        <v>5897</v>
      </c>
      <c r="B319" s="31">
        <f t="shared" si="18"/>
        <v>385610.5</v>
      </c>
      <c r="C319" s="31">
        <v>425310.5</v>
      </c>
      <c r="D319">
        <v>9123</v>
      </c>
      <c r="E319" s="97">
        <f>[4]EvapRates!$D$16*'FlamingGorge-Elevation-Area'!D319</f>
        <v>19158.299999999996</v>
      </c>
      <c r="F319" s="3">
        <v>315</v>
      </c>
      <c r="H319" s="98">
        <f t="shared" si="12"/>
        <v>425310.5</v>
      </c>
      <c r="I319" s="99">
        <f t="shared" si="11"/>
        <v>5897</v>
      </c>
      <c r="J319">
        <v>425310.5</v>
      </c>
      <c r="N319" s="80"/>
      <c r="R319" s="80">
        <f t="shared" si="16"/>
        <v>5897</v>
      </c>
      <c r="S319">
        <f t="shared" si="14"/>
        <v>425310.5</v>
      </c>
      <c r="T319" s="80">
        <f t="shared" si="17"/>
        <v>5897</v>
      </c>
    </row>
    <row r="320" spans="1:20" x14ac:dyDescent="0.25">
      <c r="A320" s="91">
        <v>5897.5</v>
      </c>
      <c r="B320" s="31">
        <f t="shared" si="18"/>
        <v>390190.63</v>
      </c>
      <c r="C320" s="31">
        <v>429890.63</v>
      </c>
      <c r="D320">
        <v>9197.5</v>
      </c>
      <c r="E320" s="97">
        <f>[4]EvapRates!$D$16*'FlamingGorge-Elevation-Area'!D320</f>
        <v>19314.749999999996</v>
      </c>
      <c r="F320" s="3">
        <v>316</v>
      </c>
      <c r="H320" s="98">
        <f t="shared" si="12"/>
        <v>429890.63</v>
      </c>
      <c r="I320" s="99">
        <f t="shared" si="11"/>
        <v>5897.5</v>
      </c>
      <c r="J320">
        <v>429890.63</v>
      </c>
      <c r="N320" s="80"/>
      <c r="R320" s="80">
        <f t="shared" si="16"/>
        <v>5897.5</v>
      </c>
      <c r="S320">
        <f t="shared" si="14"/>
        <v>429890.63</v>
      </c>
      <c r="T320" s="80">
        <f t="shared" si="17"/>
        <v>5897.5</v>
      </c>
    </row>
    <row r="321" spans="1:20" x14ac:dyDescent="0.25">
      <c r="A321" s="91">
        <v>5898</v>
      </c>
      <c r="B321" s="31">
        <f t="shared" si="18"/>
        <v>394808</v>
      </c>
      <c r="C321" s="31">
        <v>434508</v>
      </c>
      <c r="D321">
        <v>9272</v>
      </c>
      <c r="E321" s="97">
        <f>[4]EvapRates!$D$16*'FlamingGorge-Elevation-Area'!D321</f>
        <v>19471.199999999997</v>
      </c>
      <c r="F321" s="3">
        <v>317</v>
      </c>
      <c r="H321" s="98">
        <f t="shared" si="12"/>
        <v>434508</v>
      </c>
      <c r="I321" s="99">
        <f t="shared" si="11"/>
        <v>5898</v>
      </c>
      <c r="J321">
        <v>434508</v>
      </c>
      <c r="N321" s="80"/>
      <c r="R321" s="80">
        <f t="shared" si="16"/>
        <v>5898</v>
      </c>
      <c r="S321">
        <f t="shared" si="14"/>
        <v>434508</v>
      </c>
      <c r="T321" s="80">
        <f t="shared" si="17"/>
        <v>5898</v>
      </c>
    </row>
    <row r="322" spans="1:20" x14ac:dyDescent="0.25">
      <c r="A322" s="91">
        <v>5898.5</v>
      </c>
      <c r="B322" s="31">
        <f t="shared" si="18"/>
        <v>399462.63</v>
      </c>
      <c r="C322" s="31">
        <v>439162.63</v>
      </c>
      <c r="D322">
        <v>9346.5</v>
      </c>
      <c r="E322" s="97">
        <f>[4]EvapRates!$D$16*'FlamingGorge-Elevation-Area'!D322</f>
        <v>19627.649999999998</v>
      </c>
      <c r="F322" s="3">
        <v>318</v>
      </c>
      <c r="H322" s="98">
        <f t="shared" si="12"/>
        <v>439162.63</v>
      </c>
      <c r="I322" s="99">
        <f t="shared" si="11"/>
        <v>5898.5</v>
      </c>
      <c r="J322">
        <v>439162.63</v>
      </c>
      <c r="N322" s="80"/>
      <c r="R322" s="80">
        <f t="shared" si="16"/>
        <v>5898.5</v>
      </c>
      <c r="S322">
        <f t="shared" si="14"/>
        <v>439162.63</v>
      </c>
      <c r="T322" s="80">
        <f t="shared" si="17"/>
        <v>5898.5</v>
      </c>
    </row>
    <row r="323" spans="1:20" x14ac:dyDescent="0.25">
      <c r="A323" s="91">
        <v>5899</v>
      </c>
      <c r="B323" s="31">
        <f t="shared" si="18"/>
        <v>404154.5</v>
      </c>
      <c r="C323" s="31">
        <v>443854.5</v>
      </c>
      <c r="D323">
        <v>9421</v>
      </c>
      <c r="E323" s="97">
        <f>[4]EvapRates!$D$16*'FlamingGorge-Elevation-Area'!D323</f>
        <v>19784.099999999995</v>
      </c>
      <c r="F323" s="3">
        <v>319</v>
      </c>
      <c r="H323" s="98">
        <f t="shared" si="12"/>
        <v>443854.5</v>
      </c>
      <c r="I323" s="99">
        <f t="shared" si="11"/>
        <v>5899</v>
      </c>
      <c r="J323">
        <v>443854.5</v>
      </c>
      <c r="N323" s="80"/>
      <c r="R323" s="80">
        <f t="shared" si="16"/>
        <v>5899</v>
      </c>
      <c r="S323">
        <f t="shared" si="14"/>
        <v>443854.5</v>
      </c>
      <c r="T323" s="80">
        <f t="shared" si="17"/>
        <v>5899</v>
      </c>
    </row>
    <row r="324" spans="1:20" x14ac:dyDescent="0.25">
      <c r="A324" s="91">
        <v>5899.5</v>
      </c>
      <c r="B324" s="31">
        <f t="shared" si="18"/>
        <v>408883.63</v>
      </c>
      <c r="C324" s="31">
        <v>448583.63</v>
      </c>
      <c r="D324">
        <v>9495.5</v>
      </c>
      <c r="E324" s="97">
        <f>[4]EvapRates!$D$16*'FlamingGorge-Elevation-Area'!D324</f>
        <v>19940.549999999996</v>
      </c>
      <c r="F324" s="3">
        <v>320</v>
      </c>
      <c r="H324" s="98">
        <f t="shared" si="12"/>
        <v>448583.63</v>
      </c>
      <c r="I324" s="99">
        <f t="shared" si="11"/>
        <v>5899.5</v>
      </c>
      <c r="J324">
        <v>448583.63</v>
      </c>
      <c r="N324" s="80"/>
      <c r="R324" s="80">
        <f t="shared" si="16"/>
        <v>5899.5</v>
      </c>
      <c r="S324">
        <f t="shared" si="14"/>
        <v>448583.63</v>
      </c>
      <c r="T324" s="80">
        <f t="shared" si="17"/>
        <v>5899.5</v>
      </c>
    </row>
    <row r="325" spans="1:20" x14ac:dyDescent="0.25">
      <c r="A325" s="91">
        <v>5900</v>
      </c>
      <c r="B325" s="31">
        <f t="shared" si="18"/>
        <v>413650</v>
      </c>
      <c r="C325" s="31">
        <v>453350</v>
      </c>
      <c r="D325">
        <v>9570</v>
      </c>
      <c r="E325" s="97">
        <f>[4]EvapRates!$D$16*'FlamingGorge-Elevation-Area'!D325</f>
        <v>20096.999999999996</v>
      </c>
      <c r="F325" s="3">
        <v>321</v>
      </c>
      <c r="H325" s="98">
        <f t="shared" si="12"/>
        <v>453350</v>
      </c>
      <c r="I325" s="99">
        <f t="shared" ref="I325:I388" si="19">A325</f>
        <v>5900</v>
      </c>
      <c r="J325">
        <v>453350</v>
      </c>
      <c r="N325" s="80"/>
      <c r="R325" s="80">
        <f t="shared" si="16"/>
        <v>5900</v>
      </c>
      <c r="S325">
        <f t="shared" si="14"/>
        <v>453350</v>
      </c>
      <c r="T325" s="80">
        <f t="shared" si="17"/>
        <v>5900</v>
      </c>
    </row>
    <row r="326" spans="1:20" x14ac:dyDescent="0.25">
      <c r="A326" s="91">
        <v>5900.5</v>
      </c>
      <c r="B326" s="31">
        <f t="shared" si="18"/>
        <v>418454.38</v>
      </c>
      <c r="C326" s="31">
        <v>458154.38</v>
      </c>
      <c r="D326">
        <v>9647.5</v>
      </c>
      <c r="E326" s="97">
        <f>[4]EvapRates!$D$16*'FlamingGorge-Elevation-Area'!D326</f>
        <v>20259.749999999996</v>
      </c>
      <c r="F326" s="3">
        <v>322</v>
      </c>
      <c r="H326" s="98">
        <f t="shared" ref="H326:H389" si="20">C326</f>
        <v>458154.38</v>
      </c>
      <c r="I326" s="99">
        <f t="shared" si="19"/>
        <v>5900.5</v>
      </c>
      <c r="J326">
        <v>458154.38</v>
      </c>
      <c r="N326" s="80"/>
      <c r="R326" s="80">
        <f t="shared" si="16"/>
        <v>5900.5</v>
      </c>
      <c r="S326">
        <f t="shared" si="14"/>
        <v>458154.38</v>
      </c>
      <c r="T326" s="80">
        <f t="shared" si="17"/>
        <v>5900.5</v>
      </c>
    </row>
    <row r="327" spans="1:20" x14ac:dyDescent="0.25">
      <c r="A327" s="91">
        <v>5901</v>
      </c>
      <c r="B327" s="31">
        <f t="shared" si="18"/>
        <v>423297.5</v>
      </c>
      <c r="C327" s="31">
        <v>462997.5</v>
      </c>
      <c r="D327">
        <v>9725</v>
      </c>
      <c r="E327" s="97">
        <f>[4]EvapRates!$D$16*'FlamingGorge-Elevation-Area'!D327</f>
        <v>20422.499999999996</v>
      </c>
      <c r="F327" s="3">
        <v>323</v>
      </c>
      <c r="H327" s="98">
        <f t="shared" si="20"/>
        <v>462997.5</v>
      </c>
      <c r="I327" s="99">
        <f t="shared" si="19"/>
        <v>5901</v>
      </c>
      <c r="J327">
        <v>462997.5</v>
      </c>
      <c r="N327" s="80"/>
      <c r="R327" s="80">
        <f t="shared" si="16"/>
        <v>5901</v>
      </c>
      <c r="S327">
        <f t="shared" si="14"/>
        <v>462997.5</v>
      </c>
      <c r="T327" s="80">
        <f t="shared" si="17"/>
        <v>5901</v>
      </c>
    </row>
    <row r="328" spans="1:20" x14ac:dyDescent="0.25">
      <c r="A328" s="91">
        <v>5901.5</v>
      </c>
      <c r="B328" s="31">
        <f t="shared" si="18"/>
        <v>428179.38</v>
      </c>
      <c r="C328" s="31">
        <v>467879.38</v>
      </c>
      <c r="D328">
        <v>9802.5</v>
      </c>
      <c r="E328" s="97">
        <f>[4]EvapRates!$D$16*'FlamingGorge-Elevation-Area'!D328</f>
        <v>20585.249999999996</v>
      </c>
      <c r="F328" s="3">
        <v>324</v>
      </c>
      <c r="H328" s="98">
        <f t="shared" si="20"/>
        <v>467879.38</v>
      </c>
      <c r="I328" s="99">
        <f t="shared" si="19"/>
        <v>5901.5</v>
      </c>
      <c r="J328">
        <v>467879.38</v>
      </c>
      <c r="N328" s="80"/>
      <c r="R328" s="80">
        <f t="shared" si="16"/>
        <v>5901.5</v>
      </c>
      <c r="S328">
        <f t="shared" si="14"/>
        <v>467879.38</v>
      </c>
      <c r="T328" s="80">
        <f t="shared" si="17"/>
        <v>5901.5</v>
      </c>
    </row>
    <row r="329" spans="1:20" x14ac:dyDescent="0.25">
      <c r="A329" s="91">
        <v>5902</v>
      </c>
      <c r="B329" s="31">
        <f t="shared" si="18"/>
        <v>433100</v>
      </c>
      <c r="C329" s="31">
        <v>472800</v>
      </c>
      <c r="D329">
        <v>9880</v>
      </c>
      <c r="E329" s="97">
        <f>[4]EvapRates!$D$16*'FlamingGorge-Elevation-Area'!D329</f>
        <v>20747.999999999996</v>
      </c>
      <c r="F329" s="3">
        <v>325</v>
      </c>
      <c r="H329" s="98">
        <f t="shared" si="20"/>
        <v>472800</v>
      </c>
      <c r="I329" s="99">
        <f t="shared" si="19"/>
        <v>5902</v>
      </c>
      <c r="J329">
        <v>472800</v>
      </c>
      <c r="N329" s="80"/>
      <c r="R329" s="80">
        <f t="shared" si="16"/>
        <v>5902</v>
      </c>
      <c r="S329">
        <f t="shared" si="14"/>
        <v>472800</v>
      </c>
      <c r="T329" s="80">
        <f t="shared" si="17"/>
        <v>5902</v>
      </c>
    </row>
    <row r="330" spans="1:20" x14ac:dyDescent="0.25">
      <c r="A330" s="91">
        <v>5902.5</v>
      </c>
      <c r="B330" s="31">
        <f t="shared" si="18"/>
        <v>438059.38</v>
      </c>
      <c r="C330" s="31">
        <v>477759.38</v>
      </c>
      <c r="D330">
        <v>9957.5</v>
      </c>
      <c r="E330" s="97">
        <f>[4]EvapRates!$D$16*'FlamingGorge-Elevation-Area'!D330</f>
        <v>20910.749999999996</v>
      </c>
      <c r="F330" s="3">
        <v>326</v>
      </c>
      <c r="H330" s="98">
        <f t="shared" si="20"/>
        <v>477759.38</v>
      </c>
      <c r="I330" s="99">
        <f t="shared" si="19"/>
        <v>5902.5</v>
      </c>
      <c r="J330">
        <v>477759.38</v>
      </c>
      <c r="N330" s="80"/>
      <c r="R330" s="80">
        <f t="shared" si="16"/>
        <v>5902.5</v>
      </c>
      <c r="S330">
        <f t="shared" ref="S330:S393" si="21">J330</f>
        <v>477759.38</v>
      </c>
      <c r="T330" s="80">
        <f t="shared" si="17"/>
        <v>5902.5</v>
      </c>
    </row>
    <row r="331" spans="1:20" x14ac:dyDescent="0.25">
      <c r="A331" s="91">
        <v>5903</v>
      </c>
      <c r="B331" s="31">
        <f t="shared" si="18"/>
        <v>443057.5</v>
      </c>
      <c r="C331" s="31">
        <v>482757.5</v>
      </c>
      <c r="D331">
        <v>10035</v>
      </c>
      <c r="E331" s="97">
        <f>[4]EvapRates!$D$16*'FlamingGorge-Elevation-Area'!D331</f>
        <v>21073.499999999996</v>
      </c>
      <c r="F331" s="3">
        <v>327</v>
      </c>
      <c r="H331" s="98">
        <f t="shared" si="20"/>
        <v>482757.5</v>
      </c>
      <c r="I331" s="99">
        <f t="shared" si="19"/>
        <v>5903</v>
      </c>
      <c r="J331">
        <v>482757.5</v>
      </c>
      <c r="N331" s="80"/>
      <c r="R331" s="80">
        <f t="shared" ref="R331:R394" si="22">R330+0.5</f>
        <v>5903</v>
      </c>
      <c r="S331">
        <f t="shared" si="21"/>
        <v>482757.5</v>
      </c>
      <c r="T331" s="80">
        <f t="shared" ref="T331:T394" si="23">T330+0.5</f>
        <v>5903</v>
      </c>
    </row>
    <row r="332" spans="1:20" x14ac:dyDescent="0.25">
      <c r="A332" s="91">
        <v>5903.5</v>
      </c>
      <c r="B332" s="31">
        <f t="shared" si="18"/>
        <v>448094.38</v>
      </c>
      <c r="C332" s="31">
        <v>487794.38</v>
      </c>
      <c r="D332">
        <v>10112.5</v>
      </c>
      <c r="E332" s="97">
        <f>[4]EvapRates!$D$16*'FlamingGorge-Elevation-Area'!D332</f>
        <v>21236.249999999996</v>
      </c>
      <c r="F332" s="3">
        <v>328</v>
      </c>
      <c r="H332" s="98">
        <f t="shared" si="20"/>
        <v>487794.38</v>
      </c>
      <c r="I332" s="99">
        <f t="shared" si="19"/>
        <v>5903.5</v>
      </c>
      <c r="J332">
        <v>487794.38</v>
      </c>
      <c r="N332" s="80"/>
      <c r="R332" s="80">
        <f t="shared" si="22"/>
        <v>5903.5</v>
      </c>
      <c r="S332">
        <f t="shared" si="21"/>
        <v>487794.38</v>
      </c>
      <c r="T332" s="80">
        <f t="shared" si="23"/>
        <v>5903.5</v>
      </c>
    </row>
    <row r="333" spans="1:20" x14ac:dyDescent="0.25">
      <c r="A333" s="91">
        <v>5904</v>
      </c>
      <c r="B333" s="31">
        <f t="shared" si="18"/>
        <v>453170</v>
      </c>
      <c r="C333" s="31">
        <v>492870</v>
      </c>
      <c r="D333">
        <v>10190</v>
      </c>
      <c r="E333" s="97">
        <f>[4]EvapRates!$D$16*'FlamingGorge-Elevation-Area'!D333</f>
        <v>21398.999999999996</v>
      </c>
      <c r="F333" s="3">
        <v>329</v>
      </c>
      <c r="H333" s="98">
        <f t="shared" si="20"/>
        <v>492870</v>
      </c>
      <c r="I333" s="99">
        <f t="shared" si="19"/>
        <v>5904</v>
      </c>
      <c r="J333">
        <v>492870</v>
      </c>
      <c r="N333" s="80"/>
      <c r="R333" s="80">
        <f t="shared" si="22"/>
        <v>5904</v>
      </c>
      <c r="S333">
        <f t="shared" si="21"/>
        <v>492870</v>
      </c>
      <c r="T333" s="80">
        <f t="shared" si="23"/>
        <v>5904</v>
      </c>
    </row>
    <row r="334" spans="1:20" x14ac:dyDescent="0.25">
      <c r="A334" s="91">
        <v>5904.5</v>
      </c>
      <c r="B334" s="31">
        <f t="shared" si="18"/>
        <v>458284.38</v>
      </c>
      <c r="C334" s="31">
        <v>497984.38</v>
      </c>
      <c r="D334">
        <v>10267.5</v>
      </c>
      <c r="E334" s="97">
        <f>[4]EvapRates!$D$16*'FlamingGorge-Elevation-Area'!D334</f>
        <v>21561.749999999996</v>
      </c>
      <c r="F334" s="3">
        <v>330</v>
      </c>
      <c r="H334" s="98">
        <f t="shared" si="20"/>
        <v>497984.38</v>
      </c>
      <c r="I334" s="99">
        <f t="shared" si="19"/>
        <v>5904.5</v>
      </c>
      <c r="J334">
        <v>497984.38</v>
      </c>
      <c r="N334" s="80"/>
      <c r="R334" s="80">
        <f t="shared" si="22"/>
        <v>5904.5</v>
      </c>
      <c r="S334">
        <f t="shared" si="21"/>
        <v>497984.38</v>
      </c>
      <c r="T334" s="80">
        <f t="shared" si="23"/>
        <v>5904.5</v>
      </c>
    </row>
    <row r="335" spans="1:20" x14ac:dyDescent="0.25">
      <c r="A335" s="91">
        <v>5905</v>
      </c>
      <c r="B335" s="31">
        <f t="shared" si="18"/>
        <v>463437.5</v>
      </c>
      <c r="C335" s="31">
        <v>503137.5</v>
      </c>
      <c r="D335">
        <v>10345</v>
      </c>
      <c r="E335" s="97">
        <f>[4]EvapRates!$D$16*'FlamingGorge-Elevation-Area'!D335</f>
        <v>21724.499999999996</v>
      </c>
      <c r="F335" s="3">
        <v>331</v>
      </c>
      <c r="H335" s="98">
        <f t="shared" si="20"/>
        <v>503137.5</v>
      </c>
      <c r="I335" s="99">
        <f t="shared" si="19"/>
        <v>5905</v>
      </c>
      <c r="J335">
        <v>503137.5</v>
      </c>
      <c r="N335" s="80"/>
      <c r="R335" s="80">
        <f t="shared" si="22"/>
        <v>5905</v>
      </c>
      <c r="S335">
        <f t="shared" si="21"/>
        <v>503137.5</v>
      </c>
      <c r="T335" s="80">
        <f t="shared" si="23"/>
        <v>5905</v>
      </c>
    </row>
    <row r="336" spans="1:20" x14ac:dyDescent="0.25">
      <c r="A336" s="91">
        <v>5905.5</v>
      </c>
      <c r="B336" s="31">
        <f t="shared" si="18"/>
        <v>468629.38</v>
      </c>
      <c r="C336" s="31">
        <v>508329.38</v>
      </c>
      <c r="D336">
        <v>10422.5</v>
      </c>
      <c r="E336" s="97">
        <f>[4]EvapRates!$D$16*'FlamingGorge-Elevation-Area'!D336</f>
        <v>21887.249999999996</v>
      </c>
      <c r="F336" s="3">
        <v>332</v>
      </c>
      <c r="H336" s="98">
        <f t="shared" si="20"/>
        <v>508329.38</v>
      </c>
      <c r="I336" s="99">
        <f t="shared" si="19"/>
        <v>5905.5</v>
      </c>
      <c r="J336">
        <v>508329.38</v>
      </c>
      <c r="N336" s="80"/>
      <c r="R336" s="80">
        <f t="shared" si="22"/>
        <v>5905.5</v>
      </c>
      <c r="S336">
        <f t="shared" si="21"/>
        <v>508329.38</v>
      </c>
      <c r="T336" s="80">
        <f t="shared" si="23"/>
        <v>5905.5</v>
      </c>
    </row>
    <row r="337" spans="1:20" x14ac:dyDescent="0.25">
      <c r="A337" s="91">
        <v>5906</v>
      </c>
      <c r="B337" s="31">
        <f t="shared" si="18"/>
        <v>473860</v>
      </c>
      <c r="C337" s="31">
        <v>513560</v>
      </c>
      <c r="D337">
        <v>10500</v>
      </c>
      <c r="E337" s="97">
        <f>[4]EvapRates!$D$16*'FlamingGorge-Elevation-Area'!D337</f>
        <v>22049.999999999996</v>
      </c>
      <c r="F337" s="3">
        <v>333</v>
      </c>
      <c r="H337" s="98">
        <f t="shared" si="20"/>
        <v>513560</v>
      </c>
      <c r="I337" s="99">
        <f t="shared" si="19"/>
        <v>5906</v>
      </c>
      <c r="J337">
        <v>513560</v>
      </c>
      <c r="N337" s="80"/>
      <c r="R337" s="80">
        <f t="shared" si="22"/>
        <v>5906</v>
      </c>
      <c r="S337">
        <f t="shared" si="21"/>
        <v>513560</v>
      </c>
      <c r="T337" s="80">
        <f t="shared" si="23"/>
        <v>5906</v>
      </c>
    </row>
    <row r="338" spans="1:20" x14ac:dyDescent="0.25">
      <c r="A338" s="91">
        <v>5906.5</v>
      </c>
      <c r="B338" s="31">
        <f t="shared" si="18"/>
        <v>479129.38</v>
      </c>
      <c r="C338" s="31">
        <v>518829.38</v>
      </c>
      <c r="D338">
        <v>10577.5</v>
      </c>
      <c r="E338" s="97">
        <f>[4]EvapRates!$D$16*'FlamingGorge-Elevation-Area'!D338</f>
        <v>22212.749999999996</v>
      </c>
      <c r="F338" s="3">
        <v>334</v>
      </c>
      <c r="H338" s="98">
        <f t="shared" si="20"/>
        <v>518829.38</v>
      </c>
      <c r="I338" s="99">
        <f t="shared" si="19"/>
        <v>5906.5</v>
      </c>
      <c r="J338">
        <v>518829.38</v>
      </c>
      <c r="N338" s="80"/>
      <c r="R338" s="80">
        <f t="shared" si="22"/>
        <v>5906.5</v>
      </c>
      <c r="S338">
        <f t="shared" si="21"/>
        <v>518829.38</v>
      </c>
      <c r="T338" s="80">
        <f t="shared" si="23"/>
        <v>5906.5</v>
      </c>
    </row>
    <row r="339" spans="1:20" x14ac:dyDescent="0.25">
      <c r="A339" s="91">
        <v>5907</v>
      </c>
      <c r="B339" s="31">
        <f t="shared" si="18"/>
        <v>484437.5</v>
      </c>
      <c r="C339" s="31">
        <v>524137.5</v>
      </c>
      <c r="D339">
        <v>10655</v>
      </c>
      <c r="E339" s="97">
        <f>[4]EvapRates!$D$16*'FlamingGorge-Elevation-Area'!D339</f>
        <v>22375.499999999996</v>
      </c>
      <c r="F339" s="3">
        <v>335</v>
      </c>
      <c r="H339" s="98">
        <f t="shared" si="20"/>
        <v>524137.5</v>
      </c>
      <c r="I339" s="99">
        <f t="shared" si="19"/>
        <v>5907</v>
      </c>
      <c r="J339">
        <v>524137.5</v>
      </c>
      <c r="N339" s="80"/>
      <c r="R339" s="80">
        <f t="shared" si="22"/>
        <v>5907</v>
      </c>
      <c r="S339">
        <f t="shared" si="21"/>
        <v>524137.5</v>
      </c>
      <c r="T339" s="80">
        <f t="shared" si="23"/>
        <v>5907</v>
      </c>
    </row>
    <row r="340" spans="1:20" x14ac:dyDescent="0.25">
      <c r="A340" s="91">
        <v>5907.5</v>
      </c>
      <c r="B340" s="31">
        <f t="shared" si="18"/>
        <v>489784.38</v>
      </c>
      <c r="C340" s="31">
        <v>529484.38</v>
      </c>
      <c r="D340">
        <v>10732.5</v>
      </c>
      <c r="E340" s="97">
        <f>[4]EvapRates!$D$16*'FlamingGorge-Elevation-Area'!D340</f>
        <v>22538.249999999996</v>
      </c>
      <c r="F340" s="3">
        <v>336</v>
      </c>
      <c r="H340" s="98">
        <f t="shared" si="20"/>
        <v>529484.38</v>
      </c>
      <c r="I340" s="99">
        <f t="shared" si="19"/>
        <v>5907.5</v>
      </c>
      <c r="J340">
        <v>529484.38</v>
      </c>
      <c r="N340" s="80"/>
      <c r="R340" s="80">
        <f t="shared" si="22"/>
        <v>5907.5</v>
      </c>
      <c r="S340">
        <f t="shared" si="21"/>
        <v>529484.38</v>
      </c>
      <c r="T340" s="80">
        <f t="shared" si="23"/>
        <v>5907.5</v>
      </c>
    </row>
    <row r="341" spans="1:20" x14ac:dyDescent="0.25">
      <c r="A341" s="91">
        <v>5908</v>
      </c>
      <c r="B341" s="31">
        <f t="shared" si="18"/>
        <v>495170</v>
      </c>
      <c r="C341" s="31">
        <v>534870</v>
      </c>
      <c r="D341">
        <v>10810</v>
      </c>
      <c r="E341" s="97">
        <f>[4]EvapRates!$D$16*'FlamingGorge-Elevation-Area'!D341</f>
        <v>22700.999999999996</v>
      </c>
      <c r="F341" s="3">
        <v>337</v>
      </c>
      <c r="H341" s="98">
        <f t="shared" si="20"/>
        <v>534870</v>
      </c>
      <c r="I341" s="99">
        <f t="shared" si="19"/>
        <v>5908</v>
      </c>
      <c r="J341">
        <v>534870</v>
      </c>
      <c r="N341" s="80"/>
      <c r="R341" s="80">
        <f t="shared" si="22"/>
        <v>5908</v>
      </c>
      <c r="S341">
        <f t="shared" si="21"/>
        <v>534870</v>
      </c>
      <c r="T341" s="80">
        <f t="shared" si="23"/>
        <v>5908</v>
      </c>
    </row>
    <row r="342" spans="1:20" x14ac:dyDescent="0.25">
      <c r="A342" s="91">
        <v>5908.5</v>
      </c>
      <c r="B342" s="31">
        <f t="shared" si="18"/>
        <v>500594.38</v>
      </c>
      <c r="C342" s="31">
        <v>540294.38</v>
      </c>
      <c r="D342">
        <v>10887.5</v>
      </c>
      <c r="E342" s="97">
        <f>[4]EvapRates!$D$16*'FlamingGorge-Elevation-Area'!D342</f>
        <v>22863.749999999996</v>
      </c>
      <c r="F342" s="3">
        <v>338</v>
      </c>
      <c r="H342" s="98">
        <f t="shared" si="20"/>
        <v>540294.38</v>
      </c>
      <c r="I342" s="99">
        <f t="shared" si="19"/>
        <v>5908.5</v>
      </c>
      <c r="J342">
        <v>540294.38</v>
      </c>
      <c r="N342" s="80"/>
      <c r="R342" s="80">
        <f t="shared" si="22"/>
        <v>5908.5</v>
      </c>
      <c r="S342">
        <f t="shared" si="21"/>
        <v>540294.38</v>
      </c>
      <c r="T342" s="80">
        <f t="shared" si="23"/>
        <v>5908.5</v>
      </c>
    </row>
    <row r="343" spans="1:20" x14ac:dyDescent="0.25">
      <c r="A343" s="91">
        <v>5909</v>
      </c>
      <c r="B343" s="31">
        <f t="shared" si="18"/>
        <v>506057.5</v>
      </c>
      <c r="C343" s="31">
        <v>545757.5</v>
      </c>
      <c r="D343">
        <v>10965</v>
      </c>
      <c r="E343" s="97">
        <f>[4]EvapRates!$D$16*'FlamingGorge-Elevation-Area'!D343</f>
        <v>23026.499999999996</v>
      </c>
      <c r="F343" s="3">
        <v>339</v>
      </c>
      <c r="H343" s="98">
        <f t="shared" si="20"/>
        <v>545757.5</v>
      </c>
      <c r="I343" s="99">
        <f t="shared" si="19"/>
        <v>5909</v>
      </c>
      <c r="J343">
        <v>545757.5</v>
      </c>
      <c r="N343" s="80"/>
      <c r="R343" s="80">
        <f t="shared" si="22"/>
        <v>5909</v>
      </c>
      <c r="S343">
        <f t="shared" si="21"/>
        <v>545757.5</v>
      </c>
      <c r="T343" s="80">
        <f t="shared" si="23"/>
        <v>5909</v>
      </c>
    </row>
    <row r="344" spans="1:20" x14ac:dyDescent="0.25">
      <c r="A344" s="91">
        <v>5909.5</v>
      </c>
      <c r="B344" s="31">
        <f t="shared" si="18"/>
        <v>511559.38</v>
      </c>
      <c r="C344" s="31">
        <v>551259.38</v>
      </c>
      <c r="D344">
        <v>11042.5</v>
      </c>
      <c r="E344" s="97">
        <f>[4]EvapRates!$D$16*'FlamingGorge-Elevation-Area'!D344</f>
        <v>23189.249999999996</v>
      </c>
      <c r="F344" s="3">
        <v>340</v>
      </c>
      <c r="H344" s="98">
        <f t="shared" si="20"/>
        <v>551259.38</v>
      </c>
      <c r="I344" s="99">
        <f t="shared" si="19"/>
        <v>5909.5</v>
      </c>
      <c r="J344">
        <v>551259.38</v>
      </c>
      <c r="N344" s="80"/>
      <c r="R344" s="80">
        <f t="shared" si="22"/>
        <v>5909.5</v>
      </c>
      <c r="S344">
        <f t="shared" si="21"/>
        <v>551259.38</v>
      </c>
      <c r="T344" s="80">
        <f t="shared" si="23"/>
        <v>5909.5</v>
      </c>
    </row>
    <row r="345" spans="1:20" x14ac:dyDescent="0.25">
      <c r="A345" s="91">
        <v>5910</v>
      </c>
      <c r="B345" s="31">
        <f t="shared" si="18"/>
        <v>517100</v>
      </c>
      <c r="C345" s="31">
        <v>556800</v>
      </c>
      <c r="D345">
        <v>11120</v>
      </c>
      <c r="E345" s="97">
        <f>[4]EvapRates!$D$16*'FlamingGorge-Elevation-Area'!D345</f>
        <v>23351.999999999996</v>
      </c>
      <c r="F345" s="3">
        <v>341</v>
      </c>
      <c r="H345" s="98">
        <f t="shared" si="20"/>
        <v>556800</v>
      </c>
      <c r="I345" s="99">
        <f t="shared" si="19"/>
        <v>5910</v>
      </c>
      <c r="J345">
        <v>556800</v>
      </c>
      <c r="N345" s="80"/>
      <c r="R345" s="80">
        <f t="shared" si="22"/>
        <v>5910</v>
      </c>
      <c r="S345">
        <f t="shared" si="21"/>
        <v>556800</v>
      </c>
      <c r="T345" s="80">
        <f t="shared" si="23"/>
        <v>5910</v>
      </c>
    </row>
    <row r="346" spans="1:20" x14ac:dyDescent="0.25">
      <c r="A346" s="91">
        <v>5910.5</v>
      </c>
      <c r="B346" s="31">
        <f t="shared" si="18"/>
        <v>522677.63</v>
      </c>
      <c r="C346" s="31">
        <v>562377.63</v>
      </c>
      <c r="D346">
        <v>11190.5</v>
      </c>
      <c r="E346" s="97">
        <f>[4]EvapRates!$D$16*'FlamingGorge-Elevation-Area'!D346</f>
        <v>23500.049999999996</v>
      </c>
      <c r="F346" s="3">
        <v>342</v>
      </c>
      <c r="H346" s="98">
        <f t="shared" si="20"/>
        <v>562377.63</v>
      </c>
      <c r="I346" s="99">
        <f t="shared" si="19"/>
        <v>5910.5</v>
      </c>
      <c r="J346">
        <v>562377.63</v>
      </c>
      <c r="N346" s="80"/>
      <c r="R346" s="80">
        <f t="shared" si="22"/>
        <v>5910.5</v>
      </c>
      <c r="S346">
        <f t="shared" si="21"/>
        <v>562377.63</v>
      </c>
      <c r="T346" s="80">
        <f t="shared" si="23"/>
        <v>5910.5</v>
      </c>
    </row>
    <row r="347" spans="1:20" x14ac:dyDescent="0.25">
      <c r="A347" s="91">
        <v>5911</v>
      </c>
      <c r="B347" s="31">
        <f t="shared" si="18"/>
        <v>528290.5</v>
      </c>
      <c r="C347" s="31">
        <v>567990.5</v>
      </c>
      <c r="D347">
        <v>11261</v>
      </c>
      <c r="E347" s="97">
        <f>[4]EvapRates!$D$16*'FlamingGorge-Elevation-Area'!D347</f>
        <v>23648.099999999995</v>
      </c>
      <c r="F347" s="3">
        <v>343</v>
      </c>
      <c r="H347" s="98">
        <f t="shared" si="20"/>
        <v>567990.5</v>
      </c>
      <c r="I347" s="99">
        <f t="shared" si="19"/>
        <v>5911</v>
      </c>
      <c r="J347">
        <v>567990.5</v>
      </c>
      <c r="N347" s="80"/>
      <c r="R347" s="80">
        <f t="shared" si="22"/>
        <v>5911</v>
      </c>
      <c r="S347">
        <f t="shared" si="21"/>
        <v>567990.5</v>
      </c>
      <c r="T347" s="80">
        <f t="shared" si="23"/>
        <v>5911</v>
      </c>
    </row>
    <row r="348" spans="1:20" x14ac:dyDescent="0.25">
      <c r="A348" s="91">
        <v>5911.5</v>
      </c>
      <c r="B348" s="31">
        <f t="shared" si="18"/>
        <v>533938.63</v>
      </c>
      <c r="C348" s="31">
        <v>573638.63</v>
      </c>
      <c r="D348">
        <v>11331.5</v>
      </c>
      <c r="E348" s="97">
        <f>[4]EvapRates!$D$16*'FlamingGorge-Elevation-Area'!D348</f>
        <v>23796.149999999994</v>
      </c>
      <c r="F348" s="3">
        <v>344</v>
      </c>
      <c r="H348" s="98">
        <f t="shared" si="20"/>
        <v>573638.63</v>
      </c>
      <c r="I348" s="99">
        <f t="shared" si="19"/>
        <v>5911.5</v>
      </c>
      <c r="J348">
        <v>573638.63</v>
      </c>
      <c r="N348" s="80"/>
      <c r="R348" s="80">
        <f t="shared" si="22"/>
        <v>5911.5</v>
      </c>
      <c r="S348">
        <f t="shared" si="21"/>
        <v>573638.63</v>
      </c>
      <c r="T348" s="80">
        <f t="shared" si="23"/>
        <v>5911.5</v>
      </c>
    </row>
    <row r="349" spans="1:20" x14ac:dyDescent="0.25">
      <c r="A349" s="91">
        <v>5912</v>
      </c>
      <c r="B349" s="31">
        <f t="shared" si="18"/>
        <v>539622</v>
      </c>
      <c r="C349" s="31">
        <v>579322</v>
      </c>
      <c r="D349">
        <v>11402</v>
      </c>
      <c r="E349" s="97">
        <f>[4]EvapRates!$D$16*'FlamingGorge-Elevation-Area'!D349</f>
        <v>23944.199999999997</v>
      </c>
      <c r="F349" s="3">
        <v>345</v>
      </c>
      <c r="H349" s="98">
        <f t="shared" si="20"/>
        <v>579322</v>
      </c>
      <c r="I349" s="99">
        <f t="shared" si="19"/>
        <v>5912</v>
      </c>
      <c r="J349">
        <v>579322</v>
      </c>
      <c r="N349" s="80"/>
      <c r="R349" s="80">
        <f t="shared" si="22"/>
        <v>5912</v>
      </c>
      <c r="S349">
        <f t="shared" si="21"/>
        <v>579322</v>
      </c>
      <c r="T349" s="80">
        <f t="shared" si="23"/>
        <v>5912</v>
      </c>
    </row>
    <row r="350" spans="1:20" x14ac:dyDescent="0.25">
      <c r="A350" s="91">
        <v>5912.5</v>
      </c>
      <c r="B350" s="31">
        <f t="shared" si="18"/>
        <v>545340.63</v>
      </c>
      <c r="C350" s="31">
        <v>585040.63</v>
      </c>
      <c r="D350">
        <v>11472.5</v>
      </c>
      <c r="E350" s="97">
        <f>[4]EvapRates!$D$16*'FlamingGorge-Elevation-Area'!D350</f>
        <v>24092.249999999996</v>
      </c>
      <c r="F350" s="3">
        <v>346</v>
      </c>
      <c r="H350" s="98">
        <f t="shared" si="20"/>
        <v>585040.63</v>
      </c>
      <c r="I350" s="99">
        <f t="shared" si="19"/>
        <v>5912.5</v>
      </c>
      <c r="J350">
        <v>585040.63</v>
      </c>
      <c r="N350" s="80"/>
      <c r="R350" s="80">
        <f t="shared" si="22"/>
        <v>5912.5</v>
      </c>
      <c r="S350">
        <f t="shared" si="21"/>
        <v>585040.63</v>
      </c>
      <c r="T350" s="80">
        <f t="shared" si="23"/>
        <v>5912.5</v>
      </c>
    </row>
    <row r="351" spans="1:20" x14ac:dyDescent="0.25">
      <c r="A351" s="91">
        <v>5913</v>
      </c>
      <c r="B351" s="31">
        <f t="shared" ref="B351:B414" si="24">C351-39700</f>
        <v>551094.5</v>
      </c>
      <c r="C351" s="31">
        <v>590794.5</v>
      </c>
      <c r="D351">
        <v>11543</v>
      </c>
      <c r="E351" s="97">
        <f>[4]EvapRates!$D$16*'FlamingGorge-Elevation-Area'!D351</f>
        <v>24240.299999999996</v>
      </c>
      <c r="F351" s="3">
        <v>347</v>
      </c>
      <c r="H351" s="98">
        <f t="shared" si="20"/>
        <v>590794.5</v>
      </c>
      <c r="I351" s="99">
        <f t="shared" si="19"/>
        <v>5913</v>
      </c>
      <c r="J351">
        <v>590794.5</v>
      </c>
      <c r="N351" s="80"/>
      <c r="R351" s="80">
        <f t="shared" si="22"/>
        <v>5913</v>
      </c>
      <c r="S351">
        <f t="shared" si="21"/>
        <v>590794.5</v>
      </c>
      <c r="T351" s="80">
        <f t="shared" si="23"/>
        <v>5913</v>
      </c>
    </row>
    <row r="352" spans="1:20" x14ac:dyDescent="0.25">
      <c r="A352" s="91">
        <v>5913.5</v>
      </c>
      <c r="B352" s="31">
        <f t="shared" si="24"/>
        <v>556883.63</v>
      </c>
      <c r="C352" s="31">
        <v>596583.63</v>
      </c>
      <c r="D352">
        <v>11613.5</v>
      </c>
      <c r="E352" s="97">
        <f>[4]EvapRates!$D$16*'FlamingGorge-Elevation-Area'!D352</f>
        <v>24388.349999999995</v>
      </c>
      <c r="F352" s="3">
        <v>348</v>
      </c>
      <c r="H352" s="98">
        <f t="shared" si="20"/>
        <v>596583.63</v>
      </c>
      <c r="I352" s="99">
        <f t="shared" si="19"/>
        <v>5913.5</v>
      </c>
      <c r="J352">
        <v>596583.63</v>
      </c>
      <c r="N352" s="80"/>
      <c r="R352" s="80">
        <f t="shared" si="22"/>
        <v>5913.5</v>
      </c>
      <c r="S352">
        <f t="shared" si="21"/>
        <v>596583.63</v>
      </c>
      <c r="T352" s="80">
        <f t="shared" si="23"/>
        <v>5913.5</v>
      </c>
    </row>
    <row r="353" spans="1:20" x14ac:dyDescent="0.25">
      <c r="A353" s="91">
        <v>5914</v>
      </c>
      <c r="B353" s="31">
        <f t="shared" si="24"/>
        <v>562708</v>
      </c>
      <c r="C353" s="31">
        <v>602408</v>
      </c>
      <c r="D353">
        <v>11684</v>
      </c>
      <c r="E353" s="97">
        <f>[4]EvapRates!$D$16*'FlamingGorge-Elevation-Area'!D353</f>
        <v>24536.399999999994</v>
      </c>
      <c r="F353" s="3">
        <v>349</v>
      </c>
      <c r="H353" s="98">
        <f t="shared" si="20"/>
        <v>602408</v>
      </c>
      <c r="I353" s="99">
        <f t="shared" si="19"/>
        <v>5914</v>
      </c>
      <c r="J353">
        <v>602408</v>
      </c>
      <c r="N353" s="80"/>
      <c r="R353" s="80">
        <f t="shared" si="22"/>
        <v>5914</v>
      </c>
      <c r="S353">
        <f t="shared" si="21"/>
        <v>602408</v>
      </c>
      <c r="T353" s="80">
        <f t="shared" si="23"/>
        <v>5914</v>
      </c>
    </row>
    <row r="354" spans="1:20" x14ac:dyDescent="0.25">
      <c r="A354" s="91">
        <v>5914.5</v>
      </c>
      <c r="B354" s="31">
        <f t="shared" si="24"/>
        <v>568567.63</v>
      </c>
      <c r="C354" s="31">
        <v>608267.63</v>
      </c>
      <c r="D354">
        <v>11754.5</v>
      </c>
      <c r="E354" s="97">
        <f>[4]EvapRates!$D$16*'FlamingGorge-Elevation-Area'!D354</f>
        <v>24684.449999999997</v>
      </c>
      <c r="F354" s="3">
        <v>350</v>
      </c>
      <c r="H354" s="98">
        <f t="shared" si="20"/>
        <v>608267.63</v>
      </c>
      <c r="I354" s="99">
        <f t="shared" si="19"/>
        <v>5914.5</v>
      </c>
      <c r="J354">
        <v>608267.63</v>
      </c>
      <c r="N354" s="80"/>
      <c r="R354" s="80">
        <f t="shared" si="22"/>
        <v>5914.5</v>
      </c>
      <c r="S354">
        <f t="shared" si="21"/>
        <v>608267.63</v>
      </c>
      <c r="T354" s="80">
        <f t="shared" si="23"/>
        <v>5914.5</v>
      </c>
    </row>
    <row r="355" spans="1:20" x14ac:dyDescent="0.25">
      <c r="A355" s="91">
        <v>5915</v>
      </c>
      <c r="B355" s="31">
        <f t="shared" si="24"/>
        <v>574462.5</v>
      </c>
      <c r="C355" s="31">
        <v>614162.5</v>
      </c>
      <c r="D355">
        <v>11825</v>
      </c>
      <c r="E355" s="97">
        <f>[4]EvapRates!$D$16*'FlamingGorge-Elevation-Area'!D355</f>
        <v>24832.499999999996</v>
      </c>
      <c r="F355" s="3">
        <v>351</v>
      </c>
      <c r="H355" s="98">
        <f t="shared" si="20"/>
        <v>614162.5</v>
      </c>
      <c r="I355" s="99">
        <f t="shared" si="19"/>
        <v>5915</v>
      </c>
      <c r="J355">
        <v>614162.5</v>
      </c>
      <c r="N355" s="80"/>
      <c r="R355" s="80">
        <f t="shared" si="22"/>
        <v>5915</v>
      </c>
      <c r="S355">
        <f t="shared" si="21"/>
        <v>614162.5</v>
      </c>
      <c r="T355" s="80">
        <f t="shared" si="23"/>
        <v>5915</v>
      </c>
    </row>
    <row r="356" spans="1:20" x14ac:dyDescent="0.25">
      <c r="A356" s="91">
        <v>5915.5</v>
      </c>
      <c r="B356" s="31">
        <f t="shared" si="24"/>
        <v>580392.63</v>
      </c>
      <c r="C356" s="31">
        <v>620092.63</v>
      </c>
      <c r="D356">
        <v>11895.5</v>
      </c>
      <c r="E356" s="97">
        <f>[4]EvapRates!$D$16*'FlamingGorge-Elevation-Area'!D356</f>
        <v>24980.549999999996</v>
      </c>
      <c r="F356" s="3">
        <v>352</v>
      </c>
      <c r="H356" s="98">
        <f t="shared" si="20"/>
        <v>620092.63</v>
      </c>
      <c r="I356" s="99">
        <f t="shared" si="19"/>
        <v>5915.5</v>
      </c>
      <c r="J356">
        <v>620092.63</v>
      </c>
      <c r="N356" s="80"/>
      <c r="R356" s="80">
        <f t="shared" si="22"/>
        <v>5915.5</v>
      </c>
      <c r="S356">
        <f t="shared" si="21"/>
        <v>620092.63</v>
      </c>
      <c r="T356" s="80">
        <f t="shared" si="23"/>
        <v>5915.5</v>
      </c>
    </row>
    <row r="357" spans="1:20" x14ac:dyDescent="0.25">
      <c r="A357" s="91">
        <v>5916</v>
      </c>
      <c r="B357" s="31">
        <f t="shared" si="24"/>
        <v>586358</v>
      </c>
      <c r="C357" s="31">
        <v>626058</v>
      </c>
      <c r="D357">
        <v>11966</v>
      </c>
      <c r="E357" s="97">
        <f>[4]EvapRates!$D$16*'FlamingGorge-Elevation-Area'!D357</f>
        <v>25128.599999999995</v>
      </c>
      <c r="F357" s="3">
        <v>353</v>
      </c>
      <c r="H357" s="98">
        <f t="shared" si="20"/>
        <v>626058</v>
      </c>
      <c r="I357" s="99">
        <f t="shared" si="19"/>
        <v>5916</v>
      </c>
      <c r="J357">
        <v>626058</v>
      </c>
      <c r="N357" s="80"/>
      <c r="R357" s="80">
        <f t="shared" si="22"/>
        <v>5916</v>
      </c>
      <c r="S357">
        <f t="shared" si="21"/>
        <v>626058</v>
      </c>
      <c r="T357" s="80">
        <f t="shared" si="23"/>
        <v>5916</v>
      </c>
    </row>
    <row r="358" spans="1:20" x14ac:dyDescent="0.25">
      <c r="A358" s="91">
        <v>5916.5</v>
      </c>
      <c r="B358" s="31">
        <f t="shared" si="24"/>
        <v>592358.63</v>
      </c>
      <c r="C358" s="31">
        <v>632058.63</v>
      </c>
      <c r="D358">
        <v>12036.5</v>
      </c>
      <c r="E358" s="97">
        <f>[4]EvapRates!$D$16*'FlamingGorge-Elevation-Area'!D358</f>
        <v>25276.649999999994</v>
      </c>
      <c r="F358" s="3">
        <v>354</v>
      </c>
      <c r="H358" s="98">
        <f t="shared" si="20"/>
        <v>632058.63</v>
      </c>
      <c r="I358" s="99">
        <f t="shared" si="19"/>
        <v>5916.5</v>
      </c>
      <c r="J358">
        <v>632058.63</v>
      </c>
      <c r="N358" s="80"/>
      <c r="R358" s="80">
        <f t="shared" si="22"/>
        <v>5916.5</v>
      </c>
      <c r="S358">
        <f t="shared" si="21"/>
        <v>632058.63</v>
      </c>
      <c r="T358" s="80">
        <f t="shared" si="23"/>
        <v>5916.5</v>
      </c>
    </row>
    <row r="359" spans="1:20" x14ac:dyDescent="0.25">
      <c r="A359" s="91">
        <v>5917</v>
      </c>
      <c r="B359" s="31">
        <f t="shared" si="24"/>
        <v>598394.5</v>
      </c>
      <c r="C359" s="31">
        <v>638094.5</v>
      </c>
      <c r="D359">
        <v>12107</v>
      </c>
      <c r="E359" s="97">
        <f>[4]EvapRates!$D$16*'FlamingGorge-Elevation-Area'!D359</f>
        <v>25424.699999999997</v>
      </c>
      <c r="F359" s="3">
        <v>355</v>
      </c>
      <c r="H359" s="98">
        <f t="shared" si="20"/>
        <v>638094.5</v>
      </c>
      <c r="I359" s="99">
        <f t="shared" si="19"/>
        <v>5917</v>
      </c>
      <c r="J359">
        <v>638094.5</v>
      </c>
      <c r="N359" s="80"/>
      <c r="R359" s="80">
        <f t="shared" si="22"/>
        <v>5917</v>
      </c>
      <c r="S359">
        <f t="shared" si="21"/>
        <v>638094.5</v>
      </c>
      <c r="T359" s="80">
        <f t="shared" si="23"/>
        <v>5917</v>
      </c>
    </row>
    <row r="360" spans="1:20" x14ac:dyDescent="0.25">
      <c r="A360" s="91">
        <v>5917.5</v>
      </c>
      <c r="B360" s="31">
        <f t="shared" si="24"/>
        <v>604465.63</v>
      </c>
      <c r="C360" s="31">
        <v>644165.63</v>
      </c>
      <c r="D360">
        <v>12177.5</v>
      </c>
      <c r="E360" s="97">
        <f>[4]EvapRates!$D$16*'FlamingGorge-Elevation-Area'!D360</f>
        <v>25572.749999999996</v>
      </c>
      <c r="F360" s="3">
        <v>356</v>
      </c>
      <c r="H360" s="98">
        <f t="shared" si="20"/>
        <v>644165.63</v>
      </c>
      <c r="I360" s="99">
        <f t="shared" si="19"/>
        <v>5917.5</v>
      </c>
      <c r="J360">
        <v>644165.63</v>
      </c>
      <c r="N360" s="80"/>
      <c r="R360" s="80">
        <f t="shared" si="22"/>
        <v>5917.5</v>
      </c>
      <c r="S360">
        <f t="shared" si="21"/>
        <v>644165.63</v>
      </c>
      <c r="T360" s="80">
        <f t="shared" si="23"/>
        <v>5917.5</v>
      </c>
    </row>
    <row r="361" spans="1:20" x14ac:dyDescent="0.25">
      <c r="A361" s="91">
        <v>5918</v>
      </c>
      <c r="B361" s="31">
        <f t="shared" si="24"/>
        <v>610572</v>
      </c>
      <c r="C361" s="31">
        <v>650272</v>
      </c>
      <c r="D361">
        <v>12248</v>
      </c>
      <c r="E361" s="97">
        <f>[4]EvapRates!$D$16*'FlamingGorge-Elevation-Area'!D361</f>
        <v>25720.799999999996</v>
      </c>
      <c r="F361" s="3">
        <v>357</v>
      </c>
      <c r="H361" s="98">
        <f t="shared" si="20"/>
        <v>650272</v>
      </c>
      <c r="I361" s="99">
        <f t="shared" si="19"/>
        <v>5918</v>
      </c>
      <c r="J361">
        <v>650272</v>
      </c>
      <c r="N361" s="80"/>
      <c r="R361" s="80">
        <f t="shared" si="22"/>
        <v>5918</v>
      </c>
      <c r="S361">
        <f t="shared" si="21"/>
        <v>650272</v>
      </c>
      <c r="T361" s="80">
        <f t="shared" si="23"/>
        <v>5918</v>
      </c>
    </row>
    <row r="362" spans="1:20" x14ac:dyDescent="0.25">
      <c r="A362" s="91">
        <v>5918.5</v>
      </c>
      <c r="B362" s="31">
        <f t="shared" si="24"/>
        <v>616713.63</v>
      </c>
      <c r="C362" s="31">
        <v>656413.63</v>
      </c>
      <c r="D362">
        <v>12318.5</v>
      </c>
      <c r="E362" s="97">
        <f>[4]EvapRates!$D$16*'FlamingGorge-Elevation-Area'!D362</f>
        <v>25868.849999999995</v>
      </c>
      <c r="F362" s="3">
        <v>358</v>
      </c>
      <c r="H362" s="98">
        <f t="shared" si="20"/>
        <v>656413.63</v>
      </c>
      <c r="I362" s="99">
        <f t="shared" si="19"/>
        <v>5918.5</v>
      </c>
      <c r="J362">
        <v>656413.63</v>
      </c>
      <c r="N362" s="80"/>
      <c r="R362" s="80">
        <f t="shared" si="22"/>
        <v>5918.5</v>
      </c>
      <c r="S362">
        <f t="shared" si="21"/>
        <v>656413.63</v>
      </c>
      <c r="T362" s="80">
        <f t="shared" si="23"/>
        <v>5918.5</v>
      </c>
    </row>
    <row r="363" spans="1:20" x14ac:dyDescent="0.25">
      <c r="A363" s="91">
        <v>5919</v>
      </c>
      <c r="B363" s="31">
        <f t="shared" si="24"/>
        <v>622890.5</v>
      </c>
      <c r="C363" s="31">
        <v>662590.5</v>
      </c>
      <c r="D363">
        <v>12389</v>
      </c>
      <c r="E363" s="97">
        <f>[4]EvapRates!$D$16*'FlamingGorge-Elevation-Area'!D363</f>
        <v>26016.899999999994</v>
      </c>
      <c r="F363" s="3">
        <v>359</v>
      </c>
      <c r="H363" s="98">
        <f t="shared" si="20"/>
        <v>662590.5</v>
      </c>
      <c r="I363" s="99">
        <f t="shared" si="19"/>
        <v>5919</v>
      </c>
      <c r="J363">
        <v>662590.5</v>
      </c>
      <c r="N363" s="80"/>
      <c r="R363" s="80">
        <f t="shared" si="22"/>
        <v>5919</v>
      </c>
      <c r="S363">
        <f t="shared" si="21"/>
        <v>662590.5</v>
      </c>
      <c r="T363" s="80">
        <f t="shared" si="23"/>
        <v>5919</v>
      </c>
    </row>
    <row r="364" spans="1:20" x14ac:dyDescent="0.25">
      <c r="A364" s="91">
        <v>5919.5</v>
      </c>
      <c r="B364" s="31">
        <f t="shared" si="24"/>
        <v>629102.63</v>
      </c>
      <c r="C364" s="31">
        <v>668802.63</v>
      </c>
      <c r="D364">
        <v>12459.5</v>
      </c>
      <c r="E364" s="97">
        <f>[4]EvapRates!$D$16*'FlamingGorge-Elevation-Area'!D364</f>
        <v>26164.949999999997</v>
      </c>
      <c r="F364" s="3">
        <v>360</v>
      </c>
      <c r="H364" s="98">
        <f t="shared" si="20"/>
        <v>668802.63</v>
      </c>
      <c r="I364" s="99">
        <f t="shared" si="19"/>
        <v>5919.5</v>
      </c>
      <c r="J364">
        <v>668802.63</v>
      </c>
      <c r="N364" s="80"/>
      <c r="R364" s="80">
        <f t="shared" si="22"/>
        <v>5919.5</v>
      </c>
      <c r="S364">
        <f t="shared" si="21"/>
        <v>668802.63</v>
      </c>
      <c r="T364" s="80">
        <f t="shared" si="23"/>
        <v>5919.5</v>
      </c>
    </row>
    <row r="365" spans="1:20" x14ac:dyDescent="0.25">
      <c r="A365" s="91">
        <v>5920</v>
      </c>
      <c r="B365" s="31">
        <f t="shared" si="24"/>
        <v>635350</v>
      </c>
      <c r="C365" s="31">
        <v>675050</v>
      </c>
      <c r="D365">
        <v>12530</v>
      </c>
      <c r="E365" s="97">
        <f>[4]EvapRates!$D$16*'FlamingGorge-Elevation-Area'!D365</f>
        <v>26312.999999999996</v>
      </c>
      <c r="F365" s="3">
        <v>361</v>
      </c>
      <c r="H365" s="98">
        <f t="shared" si="20"/>
        <v>675050</v>
      </c>
      <c r="I365" s="99">
        <f t="shared" si="19"/>
        <v>5920</v>
      </c>
      <c r="J365">
        <v>675050</v>
      </c>
      <c r="N365" s="80"/>
      <c r="R365" s="80">
        <f t="shared" si="22"/>
        <v>5920</v>
      </c>
      <c r="S365">
        <f t="shared" si="21"/>
        <v>675050</v>
      </c>
      <c r="T365" s="80">
        <f t="shared" si="23"/>
        <v>5920</v>
      </c>
    </row>
    <row r="366" spans="1:20" x14ac:dyDescent="0.25">
      <c r="A366" s="91">
        <v>5920.5</v>
      </c>
      <c r="B366" s="31">
        <f t="shared" si="24"/>
        <v>641636.25</v>
      </c>
      <c r="C366" s="31">
        <v>681336.25</v>
      </c>
      <c r="D366">
        <v>12615</v>
      </c>
      <c r="E366" s="97">
        <f>[4]EvapRates!$D$16*'FlamingGorge-Elevation-Area'!D366</f>
        <v>26491.499999999996</v>
      </c>
      <c r="F366" s="3">
        <v>362</v>
      </c>
      <c r="H366" s="98">
        <f t="shared" si="20"/>
        <v>681336.25</v>
      </c>
      <c r="I366" s="99">
        <f t="shared" si="19"/>
        <v>5920.5</v>
      </c>
      <c r="J366">
        <v>681336.25</v>
      </c>
      <c r="N366" s="80"/>
      <c r="R366" s="80">
        <f t="shared" si="22"/>
        <v>5920.5</v>
      </c>
      <c r="S366">
        <f t="shared" si="21"/>
        <v>681336.25</v>
      </c>
      <c r="T366" s="80">
        <f t="shared" si="23"/>
        <v>5920.5</v>
      </c>
    </row>
    <row r="367" spans="1:20" x14ac:dyDescent="0.25">
      <c r="A367" s="91">
        <v>5921</v>
      </c>
      <c r="B367" s="31">
        <f t="shared" si="24"/>
        <v>647965</v>
      </c>
      <c r="C367" s="31">
        <v>687665</v>
      </c>
      <c r="D367">
        <v>12700</v>
      </c>
      <c r="E367" s="97">
        <f>[4]EvapRates!$D$16*'FlamingGorge-Elevation-Area'!D367</f>
        <v>26669.999999999996</v>
      </c>
      <c r="F367" s="3">
        <v>363</v>
      </c>
      <c r="H367" s="98">
        <f t="shared" si="20"/>
        <v>687665</v>
      </c>
      <c r="I367" s="99">
        <f t="shared" si="19"/>
        <v>5921</v>
      </c>
      <c r="J367">
        <v>687665</v>
      </c>
      <c r="N367" s="80"/>
      <c r="R367" s="80">
        <f t="shared" si="22"/>
        <v>5921</v>
      </c>
      <c r="S367">
        <f t="shared" si="21"/>
        <v>687665</v>
      </c>
      <c r="T367" s="80">
        <f t="shared" si="23"/>
        <v>5921</v>
      </c>
    </row>
    <row r="368" spans="1:20" x14ac:dyDescent="0.25">
      <c r="A368" s="91">
        <v>5921.5</v>
      </c>
      <c r="B368" s="31">
        <f t="shared" si="24"/>
        <v>654336.25</v>
      </c>
      <c r="C368" s="31">
        <v>694036.25</v>
      </c>
      <c r="D368">
        <v>12785</v>
      </c>
      <c r="E368" s="97">
        <f>[4]EvapRates!$D$16*'FlamingGorge-Elevation-Area'!D368</f>
        <v>26848.499999999996</v>
      </c>
      <c r="F368" s="3">
        <v>364</v>
      </c>
      <c r="H368" s="98">
        <f t="shared" si="20"/>
        <v>694036.25</v>
      </c>
      <c r="I368" s="99">
        <f t="shared" si="19"/>
        <v>5921.5</v>
      </c>
      <c r="J368">
        <v>694036.25</v>
      </c>
      <c r="N368" s="80"/>
      <c r="R368" s="80">
        <f t="shared" si="22"/>
        <v>5921.5</v>
      </c>
      <c r="S368">
        <f t="shared" si="21"/>
        <v>694036.25</v>
      </c>
      <c r="T368" s="80">
        <f t="shared" si="23"/>
        <v>5921.5</v>
      </c>
    </row>
    <row r="369" spans="1:20" x14ac:dyDescent="0.25">
      <c r="A369" s="91">
        <v>5922</v>
      </c>
      <c r="B369" s="31">
        <f t="shared" si="24"/>
        <v>660750</v>
      </c>
      <c r="C369" s="31">
        <v>700450</v>
      </c>
      <c r="D369">
        <v>12870</v>
      </c>
      <c r="E369" s="97">
        <f>[4]EvapRates!$D$16*'FlamingGorge-Elevation-Area'!D369</f>
        <v>27026.999999999996</v>
      </c>
      <c r="F369" s="3">
        <v>365</v>
      </c>
      <c r="H369" s="98">
        <f t="shared" si="20"/>
        <v>700450</v>
      </c>
      <c r="I369" s="99">
        <f t="shared" si="19"/>
        <v>5922</v>
      </c>
      <c r="J369">
        <v>700450</v>
      </c>
      <c r="N369" s="80"/>
      <c r="R369" s="80">
        <f t="shared" si="22"/>
        <v>5922</v>
      </c>
      <c r="S369">
        <f t="shared" si="21"/>
        <v>700450</v>
      </c>
      <c r="T369" s="80">
        <f t="shared" si="23"/>
        <v>5922</v>
      </c>
    </row>
    <row r="370" spans="1:20" x14ac:dyDescent="0.25">
      <c r="A370" s="91">
        <v>5922.5</v>
      </c>
      <c r="B370" s="31">
        <f t="shared" si="24"/>
        <v>667206.25</v>
      </c>
      <c r="C370" s="31">
        <v>706906.25</v>
      </c>
      <c r="D370">
        <v>12955</v>
      </c>
      <c r="E370" s="97">
        <f>[4]EvapRates!$D$16*'FlamingGorge-Elevation-Area'!D370</f>
        <v>27205.499999999996</v>
      </c>
      <c r="F370" s="3">
        <v>366</v>
      </c>
      <c r="H370" s="98">
        <f t="shared" si="20"/>
        <v>706906.25</v>
      </c>
      <c r="I370" s="99">
        <f t="shared" si="19"/>
        <v>5922.5</v>
      </c>
      <c r="J370">
        <v>706906.25</v>
      </c>
      <c r="N370" s="80"/>
      <c r="R370" s="80">
        <f t="shared" si="22"/>
        <v>5922.5</v>
      </c>
      <c r="S370">
        <f t="shared" si="21"/>
        <v>706906.25</v>
      </c>
      <c r="T370" s="80">
        <f t="shared" si="23"/>
        <v>5922.5</v>
      </c>
    </row>
    <row r="371" spans="1:20" x14ac:dyDescent="0.25">
      <c r="A371" s="91">
        <v>5923</v>
      </c>
      <c r="B371" s="31">
        <f t="shared" si="24"/>
        <v>673705</v>
      </c>
      <c r="C371" s="31">
        <v>713405</v>
      </c>
      <c r="D371">
        <v>13040</v>
      </c>
      <c r="E371" s="97">
        <f>[4]EvapRates!$D$16*'FlamingGorge-Elevation-Area'!D371</f>
        <v>27383.999999999996</v>
      </c>
      <c r="F371" s="3">
        <v>367</v>
      </c>
      <c r="H371" s="98">
        <f t="shared" si="20"/>
        <v>713405</v>
      </c>
      <c r="I371" s="99">
        <f t="shared" si="19"/>
        <v>5923</v>
      </c>
      <c r="J371">
        <v>713405</v>
      </c>
      <c r="N371" s="80"/>
      <c r="R371" s="80">
        <f t="shared" si="22"/>
        <v>5923</v>
      </c>
      <c r="S371">
        <f t="shared" si="21"/>
        <v>713405</v>
      </c>
      <c r="T371" s="80">
        <f t="shared" si="23"/>
        <v>5923</v>
      </c>
    </row>
    <row r="372" spans="1:20" x14ac:dyDescent="0.25">
      <c r="A372" s="91">
        <v>5923.5</v>
      </c>
      <c r="B372" s="31">
        <f t="shared" si="24"/>
        <v>680246.25</v>
      </c>
      <c r="C372" s="31">
        <v>719946.25</v>
      </c>
      <c r="D372">
        <v>13125</v>
      </c>
      <c r="E372" s="97">
        <f>[4]EvapRates!$D$16*'FlamingGorge-Elevation-Area'!D372</f>
        <v>27562.499999999996</v>
      </c>
      <c r="F372" s="3">
        <v>368</v>
      </c>
      <c r="H372" s="98">
        <f t="shared" si="20"/>
        <v>719946.25</v>
      </c>
      <c r="I372" s="99">
        <f t="shared" si="19"/>
        <v>5923.5</v>
      </c>
      <c r="J372">
        <v>719946.25</v>
      </c>
      <c r="N372" s="80"/>
      <c r="R372" s="80">
        <f t="shared" si="22"/>
        <v>5923.5</v>
      </c>
      <c r="S372">
        <f t="shared" si="21"/>
        <v>719946.25</v>
      </c>
      <c r="T372" s="80">
        <f t="shared" si="23"/>
        <v>5923.5</v>
      </c>
    </row>
    <row r="373" spans="1:20" x14ac:dyDescent="0.25">
      <c r="A373" s="91">
        <v>5924</v>
      </c>
      <c r="B373" s="31">
        <f t="shared" si="24"/>
        <v>686830</v>
      </c>
      <c r="C373" s="31">
        <v>726530</v>
      </c>
      <c r="D373">
        <v>13210</v>
      </c>
      <c r="E373" s="97">
        <f>[4]EvapRates!$D$16*'FlamingGorge-Elevation-Area'!D373</f>
        <v>27740.999999999996</v>
      </c>
      <c r="F373" s="3">
        <v>369</v>
      </c>
      <c r="H373" s="98">
        <f t="shared" si="20"/>
        <v>726530</v>
      </c>
      <c r="I373" s="99">
        <f t="shared" si="19"/>
        <v>5924</v>
      </c>
      <c r="J373">
        <v>726530</v>
      </c>
      <c r="N373" s="80"/>
      <c r="R373" s="80">
        <f t="shared" si="22"/>
        <v>5924</v>
      </c>
      <c r="S373">
        <f t="shared" si="21"/>
        <v>726530</v>
      </c>
      <c r="T373" s="80">
        <f t="shared" si="23"/>
        <v>5924</v>
      </c>
    </row>
    <row r="374" spans="1:20" x14ac:dyDescent="0.25">
      <c r="A374" s="91">
        <v>5924.5</v>
      </c>
      <c r="B374" s="31">
        <f t="shared" si="24"/>
        <v>693456.25</v>
      </c>
      <c r="C374" s="31">
        <v>733156.25</v>
      </c>
      <c r="D374">
        <v>13295</v>
      </c>
      <c r="E374" s="97">
        <f>[4]EvapRates!$D$16*'FlamingGorge-Elevation-Area'!D374</f>
        <v>27919.499999999996</v>
      </c>
      <c r="F374" s="3">
        <v>370</v>
      </c>
      <c r="H374" s="98">
        <f t="shared" si="20"/>
        <v>733156.25</v>
      </c>
      <c r="I374" s="99">
        <f t="shared" si="19"/>
        <v>5924.5</v>
      </c>
      <c r="J374">
        <v>733156.25</v>
      </c>
      <c r="N374" s="80"/>
      <c r="R374" s="80">
        <f t="shared" si="22"/>
        <v>5924.5</v>
      </c>
      <c r="S374">
        <f t="shared" si="21"/>
        <v>733156.25</v>
      </c>
      <c r="T374" s="80">
        <f t="shared" si="23"/>
        <v>5924.5</v>
      </c>
    </row>
    <row r="375" spans="1:20" x14ac:dyDescent="0.25">
      <c r="A375" s="91">
        <v>5925</v>
      </c>
      <c r="B375" s="31">
        <f t="shared" si="24"/>
        <v>700125</v>
      </c>
      <c r="C375" s="31">
        <v>739825</v>
      </c>
      <c r="D375">
        <v>13380</v>
      </c>
      <c r="E375" s="97">
        <f>[4]EvapRates!$D$16*'FlamingGorge-Elevation-Area'!D375</f>
        <v>28097.999999999996</v>
      </c>
      <c r="F375" s="3">
        <v>371</v>
      </c>
      <c r="H375" s="98">
        <f t="shared" si="20"/>
        <v>739825</v>
      </c>
      <c r="I375" s="99">
        <f t="shared" si="19"/>
        <v>5925</v>
      </c>
      <c r="J375">
        <v>739825</v>
      </c>
      <c r="N375" s="80"/>
      <c r="R375" s="80">
        <f t="shared" si="22"/>
        <v>5925</v>
      </c>
      <c r="S375">
        <f t="shared" si="21"/>
        <v>739825</v>
      </c>
      <c r="T375" s="80">
        <f t="shared" si="23"/>
        <v>5925</v>
      </c>
    </row>
    <row r="376" spans="1:20" x14ac:dyDescent="0.25">
      <c r="A376" s="91">
        <v>5925.5</v>
      </c>
      <c r="B376" s="31">
        <f t="shared" si="24"/>
        <v>706836.25</v>
      </c>
      <c r="C376" s="31">
        <v>746536.25</v>
      </c>
      <c r="D376">
        <v>13465</v>
      </c>
      <c r="E376" s="97">
        <f>[4]EvapRates!$D$16*'FlamingGorge-Elevation-Area'!D376</f>
        <v>28276.499999999996</v>
      </c>
      <c r="F376" s="3">
        <v>372</v>
      </c>
      <c r="H376" s="98">
        <f t="shared" si="20"/>
        <v>746536.25</v>
      </c>
      <c r="I376" s="99">
        <f t="shared" si="19"/>
        <v>5925.5</v>
      </c>
      <c r="J376">
        <v>746536.25</v>
      </c>
      <c r="N376" s="80"/>
      <c r="R376" s="80">
        <f t="shared" si="22"/>
        <v>5925.5</v>
      </c>
      <c r="S376">
        <f t="shared" si="21"/>
        <v>746536.25</v>
      </c>
      <c r="T376" s="80">
        <f t="shared" si="23"/>
        <v>5925.5</v>
      </c>
    </row>
    <row r="377" spans="1:20" x14ac:dyDescent="0.25">
      <c r="A377" s="91">
        <v>5926</v>
      </c>
      <c r="B377" s="31">
        <f t="shared" si="24"/>
        <v>713590</v>
      </c>
      <c r="C377" s="31">
        <v>753290</v>
      </c>
      <c r="D377">
        <v>13550</v>
      </c>
      <c r="E377" s="97">
        <f>[4]EvapRates!$D$16*'FlamingGorge-Elevation-Area'!D377</f>
        <v>28454.999999999996</v>
      </c>
      <c r="F377" s="3">
        <v>373</v>
      </c>
      <c r="H377" s="98">
        <f t="shared" si="20"/>
        <v>753290</v>
      </c>
      <c r="I377" s="99">
        <f t="shared" si="19"/>
        <v>5926</v>
      </c>
      <c r="J377">
        <v>753290</v>
      </c>
      <c r="N377" s="80"/>
      <c r="R377" s="80">
        <f t="shared" si="22"/>
        <v>5926</v>
      </c>
      <c r="S377">
        <f t="shared" si="21"/>
        <v>753290</v>
      </c>
      <c r="T377" s="80">
        <f t="shared" si="23"/>
        <v>5926</v>
      </c>
    </row>
    <row r="378" spans="1:20" x14ac:dyDescent="0.25">
      <c r="A378" s="91">
        <v>5926.5</v>
      </c>
      <c r="B378" s="31">
        <f t="shared" si="24"/>
        <v>720386.25</v>
      </c>
      <c r="C378" s="31">
        <v>760086.25</v>
      </c>
      <c r="D378">
        <v>13635</v>
      </c>
      <c r="E378" s="97">
        <f>[4]EvapRates!$D$16*'FlamingGorge-Elevation-Area'!D378</f>
        <v>28633.499999999996</v>
      </c>
      <c r="F378" s="3">
        <v>374</v>
      </c>
      <c r="H378" s="98">
        <f t="shared" si="20"/>
        <v>760086.25</v>
      </c>
      <c r="I378" s="99">
        <f t="shared" si="19"/>
        <v>5926.5</v>
      </c>
      <c r="J378">
        <v>760086.25</v>
      </c>
      <c r="N378" s="80"/>
      <c r="R378" s="80">
        <f t="shared" si="22"/>
        <v>5926.5</v>
      </c>
      <c r="S378">
        <f t="shared" si="21"/>
        <v>760086.25</v>
      </c>
      <c r="T378" s="80">
        <f t="shared" si="23"/>
        <v>5926.5</v>
      </c>
    </row>
    <row r="379" spans="1:20" x14ac:dyDescent="0.25">
      <c r="A379" s="91">
        <v>5927</v>
      </c>
      <c r="B379" s="31">
        <f t="shared" si="24"/>
        <v>727225</v>
      </c>
      <c r="C379" s="31">
        <v>766925</v>
      </c>
      <c r="D379">
        <v>13720</v>
      </c>
      <c r="E379" s="97">
        <f>[4]EvapRates!$D$16*'FlamingGorge-Elevation-Area'!D379</f>
        <v>28811.999999999996</v>
      </c>
      <c r="F379" s="3">
        <v>375</v>
      </c>
      <c r="H379" s="98">
        <f t="shared" si="20"/>
        <v>766925</v>
      </c>
      <c r="I379" s="99">
        <f t="shared" si="19"/>
        <v>5927</v>
      </c>
      <c r="J379">
        <v>766925</v>
      </c>
      <c r="N379" s="80"/>
      <c r="R379" s="80">
        <f t="shared" si="22"/>
        <v>5927</v>
      </c>
      <c r="S379">
        <f t="shared" si="21"/>
        <v>766925</v>
      </c>
      <c r="T379" s="80">
        <f t="shared" si="23"/>
        <v>5927</v>
      </c>
    </row>
    <row r="380" spans="1:20" x14ac:dyDescent="0.25">
      <c r="A380" s="91">
        <v>5927.5</v>
      </c>
      <c r="B380" s="31">
        <f t="shared" si="24"/>
        <v>734106.25</v>
      </c>
      <c r="C380" s="31">
        <v>773806.25</v>
      </c>
      <c r="D380">
        <v>13805</v>
      </c>
      <c r="E380" s="97">
        <f>[4]EvapRates!$D$16*'FlamingGorge-Elevation-Area'!D380</f>
        <v>28990.499999999996</v>
      </c>
      <c r="F380" s="3">
        <v>376</v>
      </c>
      <c r="H380" s="98">
        <f t="shared" si="20"/>
        <v>773806.25</v>
      </c>
      <c r="I380" s="99">
        <f t="shared" si="19"/>
        <v>5927.5</v>
      </c>
      <c r="J380">
        <v>773806.25</v>
      </c>
      <c r="N380" s="80"/>
      <c r="R380" s="80">
        <f t="shared" si="22"/>
        <v>5927.5</v>
      </c>
      <c r="S380">
        <f t="shared" si="21"/>
        <v>773806.25</v>
      </c>
      <c r="T380" s="80">
        <f t="shared" si="23"/>
        <v>5927.5</v>
      </c>
    </row>
    <row r="381" spans="1:20" x14ac:dyDescent="0.25">
      <c r="A381" s="91">
        <v>5928</v>
      </c>
      <c r="B381" s="31">
        <f t="shared" si="24"/>
        <v>741030</v>
      </c>
      <c r="C381" s="31">
        <v>780730</v>
      </c>
      <c r="D381">
        <v>13890</v>
      </c>
      <c r="E381" s="97">
        <f>[4]EvapRates!$D$16*'FlamingGorge-Elevation-Area'!D381</f>
        <v>29168.999999999996</v>
      </c>
      <c r="F381" s="3">
        <v>377</v>
      </c>
      <c r="H381" s="98">
        <f t="shared" si="20"/>
        <v>780730</v>
      </c>
      <c r="I381" s="99">
        <f t="shared" si="19"/>
        <v>5928</v>
      </c>
      <c r="J381">
        <v>780730</v>
      </c>
      <c r="N381" s="80"/>
      <c r="R381" s="80">
        <f t="shared" si="22"/>
        <v>5928</v>
      </c>
      <c r="S381">
        <f t="shared" si="21"/>
        <v>780730</v>
      </c>
      <c r="T381" s="80">
        <f t="shared" si="23"/>
        <v>5928</v>
      </c>
    </row>
    <row r="382" spans="1:20" x14ac:dyDescent="0.25">
      <c r="A382" s="91">
        <v>5928.5</v>
      </c>
      <c r="B382" s="31">
        <f t="shared" si="24"/>
        <v>747996.25</v>
      </c>
      <c r="C382" s="31">
        <v>787696.25</v>
      </c>
      <c r="D382">
        <v>13975</v>
      </c>
      <c r="E382" s="97">
        <f>[4]EvapRates!$D$16*'FlamingGorge-Elevation-Area'!D382</f>
        <v>29347.499999999996</v>
      </c>
      <c r="F382" s="3">
        <v>378</v>
      </c>
      <c r="H382" s="98">
        <f t="shared" si="20"/>
        <v>787696.25</v>
      </c>
      <c r="I382" s="99">
        <f t="shared" si="19"/>
        <v>5928.5</v>
      </c>
      <c r="J382">
        <v>787696.25</v>
      </c>
      <c r="N382" s="80"/>
      <c r="R382" s="80">
        <f t="shared" si="22"/>
        <v>5928.5</v>
      </c>
      <c r="S382">
        <f t="shared" si="21"/>
        <v>787696.25</v>
      </c>
      <c r="T382" s="80">
        <f t="shared" si="23"/>
        <v>5928.5</v>
      </c>
    </row>
    <row r="383" spans="1:20" x14ac:dyDescent="0.25">
      <c r="A383" s="91">
        <v>5929</v>
      </c>
      <c r="B383" s="31">
        <f t="shared" si="24"/>
        <v>755005</v>
      </c>
      <c r="C383" s="31">
        <v>794705</v>
      </c>
      <c r="D383">
        <v>14060</v>
      </c>
      <c r="E383" s="97">
        <f>[4]EvapRates!$D$16*'FlamingGorge-Elevation-Area'!D383</f>
        <v>29525.999999999996</v>
      </c>
      <c r="F383" s="3">
        <v>379</v>
      </c>
      <c r="H383" s="98">
        <f t="shared" si="20"/>
        <v>794705</v>
      </c>
      <c r="I383" s="99">
        <f t="shared" si="19"/>
        <v>5929</v>
      </c>
      <c r="J383">
        <v>794705</v>
      </c>
      <c r="N383" s="80"/>
      <c r="R383" s="80">
        <f t="shared" si="22"/>
        <v>5929</v>
      </c>
      <c r="S383">
        <f t="shared" si="21"/>
        <v>794705</v>
      </c>
      <c r="T383" s="80">
        <f t="shared" si="23"/>
        <v>5929</v>
      </c>
    </row>
    <row r="384" spans="1:20" x14ac:dyDescent="0.25">
      <c r="A384" s="91">
        <v>5929.5</v>
      </c>
      <c r="B384" s="31">
        <f t="shared" si="24"/>
        <v>762056.25</v>
      </c>
      <c r="C384" s="31">
        <v>801756.25</v>
      </c>
      <c r="D384">
        <v>14145</v>
      </c>
      <c r="E384" s="97">
        <f>[4]EvapRates!$D$16*'FlamingGorge-Elevation-Area'!D384</f>
        <v>29704.499999999996</v>
      </c>
      <c r="F384" s="3">
        <v>380</v>
      </c>
      <c r="H384" s="98">
        <f t="shared" si="20"/>
        <v>801756.25</v>
      </c>
      <c r="I384" s="99">
        <f t="shared" si="19"/>
        <v>5929.5</v>
      </c>
      <c r="J384">
        <v>801756.25</v>
      </c>
      <c r="N384" s="80"/>
      <c r="R384" s="80">
        <f t="shared" si="22"/>
        <v>5929.5</v>
      </c>
      <c r="S384">
        <f t="shared" si="21"/>
        <v>801756.25</v>
      </c>
      <c r="T384" s="80">
        <f t="shared" si="23"/>
        <v>5929.5</v>
      </c>
    </row>
    <row r="385" spans="1:20" x14ac:dyDescent="0.25">
      <c r="A385" s="91">
        <v>5930</v>
      </c>
      <c r="B385" s="31">
        <f t="shared" si="24"/>
        <v>769150</v>
      </c>
      <c r="C385" s="31">
        <v>808850</v>
      </c>
      <c r="D385">
        <v>14230</v>
      </c>
      <c r="E385" s="97">
        <f>[4]EvapRates!$D$16*'FlamingGorge-Elevation-Area'!D385</f>
        <v>29882.999999999996</v>
      </c>
      <c r="F385" s="3">
        <v>381</v>
      </c>
      <c r="H385" s="98">
        <f t="shared" si="20"/>
        <v>808850</v>
      </c>
      <c r="I385" s="99">
        <f t="shared" si="19"/>
        <v>5930</v>
      </c>
      <c r="J385">
        <v>808850</v>
      </c>
      <c r="N385" s="80"/>
      <c r="R385" s="80">
        <f t="shared" si="22"/>
        <v>5930</v>
      </c>
      <c r="S385">
        <f t="shared" si="21"/>
        <v>808850</v>
      </c>
      <c r="T385" s="80">
        <f t="shared" si="23"/>
        <v>5930</v>
      </c>
    </row>
    <row r="386" spans="1:20" x14ac:dyDescent="0.25">
      <c r="A386" s="91">
        <v>5930.5</v>
      </c>
      <c r="B386" s="31">
        <f t="shared" si="24"/>
        <v>776291.88</v>
      </c>
      <c r="C386" s="31">
        <v>815991.88</v>
      </c>
      <c r="D386">
        <v>14337.5</v>
      </c>
      <c r="E386" s="97">
        <f>[4]EvapRates!$D$16*'FlamingGorge-Elevation-Area'!D386</f>
        <v>30108.749999999996</v>
      </c>
      <c r="F386" s="3">
        <v>382</v>
      </c>
      <c r="H386" s="98">
        <f t="shared" si="20"/>
        <v>815991.88</v>
      </c>
      <c r="I386" s="99">
        <f t="shared" si="19"/>
        <v>5930.5</v>
      </c>
      <c r="J386">
        <v>815991.88</v>
      </c>
      <c r="N386" s="80"/>
      <c r="R386" s="80">
        <f t="shared" si="22"/>
        <v>5930.5</v>
      </c>
      <c r="S386">
        <f t="shared" si="21"/>
        <v>815991.88</v>
      </c>
      <c r="T386" s="80">
        <f t="shared" si="23"/>
        <v>5930.5</v>
      </c>
    </row>
    <row r="387" spans="1:20" x14ac:dyDescent="0.25">
      <c r="A387" s="91">
        <v>5931</v>
      </c>
      <c r="B387" s="31">
        <f t="shared" si="24"/>
        <v>783487.5</v>
      </c>
      <c r="C387" s="31">
        <v>823187.5</v>
      </c>
      <c r="D387">
        <v>14445</v>
      </c>
      <c r="E387" s="97">
        <f>[4]EvapRates!$D$16*'FlamingGorge-Elevation-Area'!D387</f>
        <v>30334.499999999996</v>
      </c>
      <c r="F387" s="3">
        <v>383</v>
      </c>
      <c r="H387" s="98">
        <f t="shared" si="20"/>
        <v>823187.5</v>
      </c>
      <c r="I387" s="99">
        <f t="shared" si="19"/>
        <v>5931</v>
      </c>
      <c r="J387">
        <v>823187.5</v>
      </c>
      <c r="N387" s="80"/>
      <c r="R387" s="80">
        <f t="shared" si="22"/>
        <v>5931</v>
      </c>
      <c r="S387">
        <f t="shared" si="21"/>
        <v>823187.5</v>
      </c>
      <c r="T387" s="80">
        <f t="shared" si="23"/>
        <v>5931</v>
      </c>
    </row>
    <row r="388" spans="1:20" x14ac:dyDescent="0.25">
      <c r="A388" s="91">
        <v>5931.5</v>
      </c>
      <c r="B388" s="31">
        <f t="shared" si="24"/>
        <v>790736.88</v>
      </c>
      <c r="C388" s="31">
        <v>830436.88</v>
      </c>
      <c r="D388">
        <v>14552.5</v>
      </c>
      <c r="E388" s="97">
        <f>[4]EvapRates!$D$16*'FlamingGorge-Elevation-Area'!D388</f>
        <v>30560.249999999996</v>
      </c>
      <c r="F388" s="3">
        <v>384</v>
      </c>
      <c r="H388" s="98">
        <f t="shared" si="20"/>
        <v>830436.88</v>
      </c>
      <c r="I388" s="99">
        <f t="shared" si="19"/>
        <v>5931.5</v>
      </c>
      <c r="J388">
        <v>830436.88</v>
      </c>
      <c r="N388" s="80"/>
      <c r="R388" s="80">
        <f t="shared" si="22"/>
        <v>5931.5</v>
      </c>
      <c r="S388">
        <f t="shared" si="21"/>
        <v>830436.88</v>
      </c>
      <c r="T388" s="80">
        <f t="shared" si="23"/>
        <v>5931.5</v>
      </c>
    </row>
    <row r="389" spans="1:20" x14ac:dyDescent="0.25">
      <c r="A389" s="91">
        <v>5932</v>
      </c>
      <c r="B389" s="31">
        <f t="shared" si="24"/>
        <v>798040</v>
      </c>
      <c r="C389" s="31">
        <v>837740</v>
      </c>
      <c r="D389">
        <v>14660</v>
      </c>
      <c r="E389" s="97">
        <f>[4]EvapRates!$D$16*'FlamingGorge-Elevation-Area'!D389</f>
        <v>30785.999999999996</v>
      </c>
      <c r="F389" s="3">
        <v>385</v>
      </c>
      <c r="H389" s="98">
        <f t="shared" si="20"/>
        <v>837740</v>
      </c>
      <c r="I389" s="99">
        <f t="shared" ref="I389:I452" si="25">A389</f>
        <v>5932</v>
      </c>
      <c r="J389">
        <v>837740</v>
      </c>
      <c r="N389" s="80"/>
      <c r="R389" s="80">
        <f t="shared" si="22"/>
        <v>5932</v>
      </c>
      <c r="S389">
        <f t="shared" si="21"/>
        <v>837740</v>
      </c>
      <c r="T389" s="80">
        <f t="shared" si="23"/>
        <v>5932</v>
      </c>
    </row>
    <row r="390" spans="1:20" x14ac:dyDescent="0.25">
      <c r="A390" s="91">
        <v>5932.5</v>
      </c>
      <c r="B390" s="31">
        <f t="shared" si="24"/>
        <v>805396.88</v>
      </c>
      <c r="C390" s="31">
        <v>845096.88</v>
      </c>
      <c r="D390">
        <v>14767.5</v>
      </c>
      <c r="E390" s="97">
        <f>[4]EvapRates!$D$16*'FlamingGorge-Elevation-Area'!D390</f>
        <v>31011.749999999996</v>
      </c>
      <c r="F390" s="3">
        <v>386</v>
      </c>
      <c r="H390" s="98">
        <f t="shared" ref="H390:H453" si="26">C390</f>
        <v>845096.88</v>
      </c>
      <c r="I390" s="99">
        <f t="shared" si="25"/>
        <v>5932.5</v>
      </c>
      <c r="J390">
        <v>845096.88</v>
      </c>
      <c r="N390" s="80"/>
      <c r="R390" s="80">
        <f t="shared" si="22"/>
        <v>5932.5</v>
      </c>
      <c r="S390">
        <f t="shared" si="21"/>
        <v>845096.88</v>
      </c>
      <c r="T390" s="80">
        <f t="shared" si="23"/>
        <v>5932.5</v>
      </c>
    </row>
    <row r="391" spans="1:20" x14ac:dyDescent="0.25">
      <c r="A391" s="91">
        <v>5933</v>
      </c>
      <c r="B391" s="31">
        <f t="shared" si="24"/>
        <v>812807.5</v>
      </c>
      <c r="C391" s="31">
        <v>852507.5</v>
      </c>
      <c r="D391">
        <v>14875</v>
      </c>
      <c r="E391" s="97">
        <f>[4]EvapRates!$D$16*'FlamingGorge-Elevation-Area'!D391</f>
        <v>31237.499999999996</v>
      </c>
      <c r="F391" s="3">
        <v>387</v>
      </c>
      <c r="H391" s="98">
        <f t="shared" si="26"/>
        <v>852507.5</v>
      </c>
      <c r="I391" s="99">
        <f t="shared" si="25"/>
        <v>5933</v>
      </c>
      <c r="J391">
        <v>852507.5</v>
      </c>
      <c r="N391" s="80"/>
      <c r="R391" s="80">
        <f t="shared" si="22"/>
        <v>5933</v>
      </c>
      <c r="S391">
        <f t="shared" si="21"/>
        <v>852507.5</v>
      </c>
      <c r="T391" s="80">
        <f t="shared" si="23"/>
        <v>5933</v>
      </c>
    </row>
    <row r="392" spans="1:20" x14ac:dyDescent="0.25">
      <c r="A392" s="91">
        <v>5933.5</v>
      </c>
      <c r="B392" s="31">
        <f t="shared" si="24"/>
        <v>820271.88</v>
      </c>
      <c r="C392" s="31">
        <v>859971.88</v>
      </c>
      <c r="D392">
        <v>14982.5</v>
      </c>
      <c r="E392" s="97">
        <f>[4]EvapRates!$D$16*'FlamingGorge-Elevation-Area'!D392</f>
        <v>31463.249999999996</v>
      </c>
      <c r="F392" s="3">
        <v>388</v>
      </c>
      <c r="H392" s="98">
        <f t="shared" si="26"/>
        <v>859971.88</v>
      </c>
      <c r="I392" s="99">
        <f t="shared" si="25"/>
        <v>5933.5</v>
      </c>
      <c r="J392">
        <v>859971.88</v>
      </c>
      <c r="N392" s="80"/>
      <c r="R392" s="80">
        <f t="shared" si="22"/>
        <v>5933.5</v>
      </c>
      <c r="S392">
        <f t="shared" si="21"/>
        <v>859971.88</v>
      </c>
      <c r="T392" s="80">
        <f t="shared" si="23"/>
        <v>5933.5</v>
      </c>
    </row>
    <row r="393" spans="1:20" x14ac:dyDescent="0.25">
      <c r="A393" s="91">
        <v>5934</v>
      </c>
      <c r="B393" s="31">
        <f t="shared" si="24"/>
        <v>827790</v>
      </c>
      <c r="C393" s="31">
        <v>867490</v>
      </c>
      <c r="D393">
        <v>15090</v>
      </c>
      <c r="E393" s="97">
        <f>[4]EvapRates!$D$16*'FlamingGorge-Elevation-Area'!D393</f>
        <v>31688.999999999996</v>
      </c>
      <c r="F393" s="3">
        <v>389</v>
      </c>
      <c r="H393" s="98">
        <f t="shared" si="26"/>
        <v>867490</v>
      </c>
      <c r="I393" s="99">
        <f t="shared" si="25"/>
        <v>5934</v>
      </c>
      <c r="J393">
        <v>867490</v>
      </c>
      <c r="N393" s="80"/>
      <c r="R393" s="80">
        <f t="shared" si="22"/>
        <v>5934</v>
      </c>
      <c r="S393">
        <f t="shared" si="21"/>
        <v>867490</v>
      </c>
      <c r="T393" s="80">
        <f t="shared" si="23"/>
        <v>5934</v>
      </c>
    </row>
    <row r="394" spans="1:20" x14ac:dyDescent="0.25">
      <c r="A394" s="91">
        <v>5934.5</v>
      </c>
      <c r="B394" s="31">
        <f t="shared" si="24"/>
        <v>835361.88</v>
      </c>
      <c r="C394" s="31">
        <v>875061.88</v>
      </c>
      <c r="D394">
        <v>15197.5</v>
      </c>
      <c r="E394" s="97">
        <f>[4]EvapRates!$D$16*'FlamingGorge-Elevation-Area'!D394</f>
        <v>31914.749999999996</v>
      </c>
      <c r="F394" s="3">
        <v>390</v>
      </c>
      <c r="H394" s="98">
        <f t="shared" si="26"/>
        <v>875061.88</v>
      </c>
      <c r="I394" s="99">
        <f t="shared" si="25"/>
        <v>5934.5</v>
      </c>
      <c r="J394">
        <v>875061.88</v>
      </c>
      <c r="N394" s="80"/>
      <c r="R394" s="80">
        <f t="shared" si="22"/>
        <v>5934.5</v>
      </c>
      <c r="S394">
        <f t="shared" ref="S394:S457" si="27">J394</f>
        <v>875061.88</v>
      </c>
      <c r="T394" s="80">
        <f t="shared" si="23"/>
        <v>5934.5</v>
      </c>
    </row>
    <row r="395" spans="1:20" x14ac:dyDescent="0.25">
      <c r="A395" s="91">
        <v>5935</v>
      </c>
      <c r="B395" s="31">
        <f t="shared" si="24"/>
        <v>842987.5</v>
      </c>
      <c r="C395" s="31">
        <v>882687.5</v>
      </c>
      <c r="D395">
        <v>15305</v>
      </c>
      <c r="E395" s="97">
        <f>[4]EvapRates!$D$16*'FlamingGorge-Elevation-Area'!D395</f>
        <v>32140.499999999996</v>
      </c>
      <c r="F395" s="3">
        <v>391</v>
      </c>
      <c r="H395" s="98">
        <f t="shared" si="26"/>
        <v>882687.5</v>
      </c>
      <c r="I395" s="99">
        <f t="shared" si="25"/>
        <v>5935</v>
      </c>
      <c r="J395">
        <v>882687.5</v>
      </c>
      <c r="N395" s="80"/>
      <c r="R395" s="80">
        <f t="shared" ref="R395:R397" si="28">R394+0.5</f>
        <v>5935</v>
      </c>
      <c r="S395">
        <f t="shared" si="27"/>
        <v>882687.5</v>
      </c>
      <c r="T395" s="80">
        <f t="shared" ref="T395:T458" si="29">T394+0.5</f>
        <v>5935</v>
      </c>
    </row>
    <row r="396" spans="1:20" x14ac:dyDescent="0.25">
      <c r="A396" s="91">
        <v>5935.5</v>
      </c>
      <c r="B396" s="31">
        <f t="shared" si="24"/>
        <v>850666.88</v>
      </c>
      <c r="C396" s="31">
        <v>890366.88</v>
      </c>
      <c r="D396">
        <v>15412.5</v>
      </c>
      <c r="E396" s="97">
        <f>[4]EvapRates!$D$16*'FlamingGorge-Elevation-Area'!D396</f>
        <v>32366.249999999993</v>
      </c>
      <c r="F396" s="3">
        <v>392</v>
      </c>
      <c r="H396" s="98">
        <f t="shared" si="26"/>
        <v>890366.88</v>
      </c>
      <c r="I396" s="99">
        <f t="shared" si="25"/>
        <v>5935.5</v>
      </c>
      <c r="J396">
        <v>890366.88</v>
      </c>
      <c r="N396" s="80"/>
      <c r="R396" s="80">
        <f t="shared" si="28"/>
        <v>5935.5</v>
      </c>
      <c r="S396">
        <f t="shared" si="27"/>
        <v>890366.88</v>
      </c>
      <c r="T396" s="80">
        <f t="shared" si="29"/>
        <v>5935.5</v>
      </c>
    </row>
    <row r="397" spans="1:20" x14ac:dyDescent="0.25">
      <c r="A397" s="91">
        <v>5936</v>
      </c>
      <c r="B397" s="31">
        <f t="shared" si="24"/>
        <v>858400</v>
      </c>
      <c r="C397" s="31">
        <v>898100</v>
      </c>
      <c r="D397">
        <v>15520</v>
      </c>
      <c r="E397" s="97">
        <f>[4]EvapRates!$D$16*'FlamingGorge-Elevation-Area'!D397</f>
        <v>32591.999999999993</v>
      </c>
      <c r="F397" s="3">
        <v>393</v>
      </c>
      <c r="H397" s="98">
        <f t="shared" si="26"/>
        <v>898100</v>
      </c>
      <c r="I397" s="99">
        <f t="shared" si="25"/>
        <v>5936</v>
      </c>
      <c r="J397">
        <v>898100</v>
      </c>
      <c r="N397" s="80"/>
      <c r="R397" s="80">
        <f t="shared" si="28"/>
        <v>5936</v>
      </c>
      <c r="S397">
        <f t="shared" si="27"/>
        <v>898100</v>
      </c>
      <c r="T397" s="80">
        <f t="shared" si="29"/>
        <v>5936</v>
      </c>
    </row>
    <row r="398" spans="1:20" x14ac:dyDescent="0.25">
      <c r="A398" s="91">
        <v>5936.5</v>
      </c>
      <c r="B398" s="31">
        <f t="shared" si="24"/>
        <v>866186.88</v>
      </c>
      <c r="C398" s="31">
        <v>905886.88</v>
      </c>
      <c r="D398">
        <v>15627.5</v>
      </c>
      <c r="E398" s="97">
        <f>[4]EvapRates!$D$16*'FlamingGorge-Elevation-Area'!D398</f>
        <v>32817.749999999993</v>
      </c>
      <c r="F398" s="3">
        <v>394</v>
      </c>
      <c r="H398" s="98">
        <f t="shared" si="26"/>
        <v>905886.88</v>
      </c>
      <c r="I398" s="99">
        <f t="shared" si="25"/>
        <v>5936.5</v>
      </c>
      <c r="J398">
        <v>905886.88</v>
      </c>
      <c r="N398" s="80"/>
      <c r="R398" s="80">
        <f>R397+0.5</f>
        <v>5936.5</v>
      </c>
      <c r="S398">
        <f t="shared" si="27"/>
        <v>905886.88</v>
      </c>
      <c r="T398" s="80">
        <f t="shared" si="29"/>
        <v>5936.5</v>
      </c>
    </row>
    <row r="399" spans="1:20" x14ac:dyDescent="0.25">
      <c r="A399" s="91">
        <v>5937</v>
      </c>
      <c r="B399" s="31">
        <f t="shared" si="24"/>
        <v>874027.5</v>
      </c>
      <c r="C399" s="31">
        <v>913727.5</v>
      </c>
      <c r="D399">
        <v>15735</v>
      </c>
      <c r="E399" s="97">
        <f>[4]EvapRates!$D$16*'FlamingGorge-Elevation-Area'!D399</f>
        <v>33043.499999999993</v>
      </c>
      <c r="F399" s="3">
        <v>395</v>
      </c>
      <c r="H399" s="98">
        <f t="shared" si="26"/>
        <v>913727.5</v>
      </c>
      <c r="I399" s="99">
        <f t="shared" si="25"/>
        <v>5937</v>
      </c>
      <c r="J399">
        <v>913727.5</v>
      </c>
      <c r="N399" s="80"/>
      <c r="R399" s="80">
        <f t="shared" ref="R399:R462" si="30">R398+0.5</f>
        <v>5937</v>
      </c>
      <c r="S399">
        <f t="shared" si="27"/>
        <v>913727.5</v>
      </c>
      <c r="T399" s="80">
        <f t="shared" si="29"/>
        <v>5937</v>
      </c>
    </row>
    <row r="400" spans="1:20" x14ac:dyDescent="0.25">
      <c r="A400" s="91">
        <v>5937.5</v>
      </c>
      <c r="B400" s="31">
        <f t="shared" si="24"/>
        <v>881921.88</v>
      </c>
      <c r="C400" s="31">
        <v>921621.88</v>
      </c>
      <c r="D400">
        <v>15842.5</v>
      </c>
      <c r="E400" s="97">
        <f>[4]EvapRates!$D$16*'FlamingGorge-Elevation-Area'!D400</f>
        <v>33269.249999999993</v>
      </c>
      <c r="F400" s="3">
        <v>396</v>
      </c>
      <c r="H400" s="98">
        <f t="shared" si="26"/>
        <v>921621.88</v>
      </c>
      <c r="I400" s="99">
        <f t="shared" si="25"/>
        <v>5937.5</v>
      </c>
      <c r="J400">
        <v>921621.88</v>
      </c>
      <c r="N400" s="80"/>
      <c r="R400" s="80">
        <f t="shared" si="30"/>
        <v>5937.5</v>
      </c>
      <c r="S400">
        <f t="shared" si="27"/>
        <v>921621.88</v>
      </c>
      <c r="T400" s="80">
        <f t="shared" si="29"/>
        <v>5937.5</v>
      </c>
    </row>
    <row r="401" spans="1:20" x14ac:dyDescent="0.25">
      <c r="A401" s="91">
        <v>5938</v>
      </c>
      <c r="B401" s="31">
        <f t="shared" si="24"/>
        <v>889870</v>
      </c>
      <c r="C401" s="31">
        <v>929570</v>
      </c>
      <c r="D401">
        <v>15950</v>
      </c>
      <c r="E401" s="97">
        <f>[4]EvapRates!$D$16*'FlamingGorge-Elevation-Area'!D401</f>
        <v>33494.999999999993</v>
      </c>
      <c r="F401" s="3">
        <v>397</v>
      </c>
      <c r="H401" s="98">
        <f t="shared" si="26"/>
        <v>929570</v>
      </c>
      <c r="I401" s="99">
        <f t="shared" si="25"/>
        <v>5938</v>
      </c>
      <c r="J401">
        <v>929570</v>
      </c>
      <c r="N401" s="80"/>
      <c r="R401" s="80">
        <f t="shared" si="30"/>
        <v>5938</v>
      </c>
      <c r="S401">
        <f t="shared" si="27"/>
        <v>929570</v>
      </c>
      <c r="T401" s="80">
        <f t="shared" si="29"/>
        <v>5938</v>
      </c>
    </row>
    <row r="402" spans="1:20" x14ac:dyDescent="0.25">
      <c r="A402" s="91">
        <v>5938.5</v>
      </c>
      <c r="B402" s="31">
        <f t="shared" si="24"/>
        <v>897871.88</v>
      </c>
      <c r="C402" s="31">
        <v>937571.88</v>
      </c>
      <c r="D402">
        <v>16057.5</v>
      </c>
      <c r="E402" s="97">
        <f>[4]EvapRates!$D$16*'FlamingGorge-Elevation-Area'!D402</f>
        <v>33720.749999999993</v>
      </c>
      <c r="F402" s="3">
        <v>398</v>
      </c>
      <c r="H402" s="98">
        <f t="shared" si="26"/>
        <v>937571.88</v>
      </c>
      <c r="I402" s="99">
        <f t="shared" si="25"/>
        <v>5938.5</v>
      </c>
      <c r="J402">
        <v>937571.88</v>
      </c>
      <c r="N402" s="80"/>
      <c r="R402" s="80">
        <f t="shared" si="30"/>
        <v>5938.5</v>
      </c>
      <c r="S402">
        <f t="shared" si="27"/>
        <v>937571.88</v>
      </c>
      <c r="T402" s="80">
        <f t="shared" si="29"/>
        <v>5938.5</v>
      </c>
    </row>
    <row r="403" spans="1:20" x14ac:dyDescent="0.25">
      <c r="A403" s="91">
        <v>5939</v>
      </c>
      <c r="B403" s="31">
        <f t="shared" si="24"/>
        <v>905927.5</v>
      </c>
      <c r="C403" s="31">
        <v>945627.5</v>
      </c>
      <c r="D403">
        <v>16165</v>
      </c>
      <c r="E403" s="97">
        <f>[4]EvapRates!$D$16*'FlamingGorge-Elevation-Area'!D403</f>
        <v>33946.499999999993</v>
      </c>
      <c r="F403" s="3">
        <v>399</v>
      </c>
      <c r="H403" s="98">
        <f t="shared" si="26"/>
        <v>945627.5</v>
      </c>
      <c r="I403" s="99">
        <f t="shared" si="25"/>
        <v>5939</v>
      </c>
      <c r="J403">
        <v>945627.5</v>
      </c>
      <c r="N403" s="80"/>
      <c r="R403" s="80">
        <f t="shared" si="30"/>
        <v>5939</v>
      </c>
      <c r="S403">
        <f t="shared" si="27"/>
        <v>945627.5</v>
      </c>
      <c r="T403" s="80">
        <f t="shared" si="29"/>
        <v>5939</v>
      </c>
    </row>
    <row r="404" spans="1:20" x14ac:dyDescent="0.25">
      <c r="A404" s="91">
        <v>5939.5</v>
      </c>
      <c r="B404" s="31">
        <f t="shared" si="24"/>
        <v>914036.88</v>
      </c>
      <c r="C404" s="31">
        <v>953736.88</v>
      </c>
      <c r="D404">
        <v>16272.5</v>
      </c>
      <c r="E404" s="97">
        <f>[4]EvapRates!$D$16*'FlamingGorge-Elevation-Area'!D404</f>
        <v>34172.249999999993</v>
      </c>
      <c r="F404" s="3">
        <v>400</v>
      </c>
      <c r="H404" s="98">
        <f t="shared" si="26"/>
        <v>953736.88</v>
      </c>
      <c r="I404" s="99">
        <f t="shared" si="25"/>
        <v>5939.5</v>
      </c>
      <c r="J404">
        <v>953736.88</v>
      </c>
      <c r="N404" s="80"/>
      <c r="R404" s="80">
        <f t="shared" si="30"/>
        <v>5939.5</v>
      </c>
      <c r="S404">
        <f t="shared" si="27"/>
        <v>953736.88</v>
      </c>
      <c r="T404" s="80">
        <f t="shared" si="29"/>
        <v>5939.5</v>
      </c>
    </row>
    <row r="405" spans="1:20" x14ac:dyDescent="0.25">
      <c r="A405" s="91">
        <v>5940</v>
      </c>
      <c r="B405" s="31">
        <f t="shared" si="24"/>
        <v>922200</v>
      </c>
      <c r="C405" s="31">
        <v>961900</v>
      </c>
      <c r="D405">
        <v>16380</v>
      </c>
      <c r="E405" s="97">
        <f>[4]EvapRates!$D$16*'FlamingGorge-Elevation-Area'!D405</f>
        <v>34397.999999999993</v>
      </c>
      <c r="F405" s="3">
        <v>401</v>
      </c>
      <c r="H405" s="98">
        <f t="shared" si="26"/>
        <v>961900</v>
      </c>
      <c r="I405" s="99">
        <f t="shared" si="25"/>
        <v>5940</v>
      </c>
      <c r="J405">
        <v>961900</v>
      </c>
      <c r="N405" s="80"/>
      <c r="R405" s="80">
        <f t="shared" si="30"/>
        <v>5940</v>
      </c>
      <c r="S405">
        <f t="shared" si="27"/>
        <v>961900</v>
      </c>
      <c r="T405" s="80">
        <f t="shared" si="29"/>
        <v>5940</v>
      </c>
    </row>
    <row r="406" spans="1:20" x14ac:dyDescent="0.25">
      <c r="A406" s="91">
        <v>5940.5</v>
      </c>
      <c r="B406" s="31">
        <f t="shared" si="24"/>
        <v>930416.5</v>
      </c>
      <c r="C406" s="31">
        <v>970116.5</v>
      </c>
      <c r="D406">
        <v>16486</v>
      </c>
      <c r="E406" s="97">
        <f>[4]EvapRates!$D$16*'FlamingGorge-Elevation-Area'!D406</f>
        <v>34620.599999999991</v>
      </c>
      <c r="F406" s="3">
        <v>402</v>
      </c>
      <c r="H406" s="98">
        <f t="shared" si="26"/>
        <v>970116.5</v>
      </c>
      <c r="I406" s="99">
        <f t="shared" si="25"/>
        <v>5940.5</v>
      </c>
      <c r="J406">
        <v>970116.5</v>
      </c>
      <c r="N406" s="80"/>
      <c r="R406" s="80">
        <f t="shared" si="30"/>
        <v>5940.5</v>
      </c>
      <c r="S406">
        <f t="shared" si="27"/>
        <v>970116.5</v>
      </c>
      <c r="T406" s="80">
        <f t="shared" si="29"/>
        <v>5940.5</v>
      </c>
    </row>
    <row r="407" spans="1:20" x14ac:dyDescent="0.25">
      <c r="A407" s="91">
        <v>5941</v>
      </c>
      <c r="B407" s="31">
        <f t="shared" si="24"/>
        <v>938686</v>
      </c>
      <c r="C407" s="31">
        <v>978386</v>
      </c>
      <c r="D407">
        <v>16592</v>
      </c>
      <c r="E407" s="97">
        <f>[4]EvapRates!$D$16*'FlamingGorge-Elevation-Area'!D407</f>
        <v>34843.199999999997</v>
      </c>
      <c r="F407" s="3">
        <v>403</v>
      </c>
      <c r="H407" s="98">
        <f t="shared" si="26"/>
        <v>978386</v>
      </c>
      <c r="I407" s="99">
        <f t="shared" si="25"/>
        <v>5941</v>
      </c>
      <c r="J407">
        <v>978386</v>
      </c>
      <c r="N407" s="80"/>
      <c r="R407" s="80">
        <f t="shared" si="30"/>
        <v>5941</v>
      </c>
      <c r="S407">
        <f t="shared" si="27"/>
        <v>978386</v>
      </c>
      <c r="T407" s="80">
        <f t="shared" si="29"/>
        <v>5941</v>
      </c>
    </row>
    <row r="408" spans="1:20" x14ac:dyDescent="0.25">
      <c r="A408" s="91">
        <v>5941.5</v>
      </c>
      <c r="B408" s="31">
        <f t="shared" si="24"/>
        <v>947008.5</v>
      </c>
      <c r="C408" s="31">
        <v>986708.5</v>
      </c>
      <c r="D408">
        <v>16698</v>
      </c>
      <c r="E408" s="97">
        <f>[4]EvapRates!$D$16*'FlamingGorge-Elevation-Area'!D408</f>
        <v>35065.799999999996</v>
      </c>
      <c r="F408" s="3">
        <v>404</v>
      </c>
      <c r="H408" s="98">
        <f t="shared" si="26"/>
        <v>986708.5</v>
      </c>
      <c r="I408" s="99">
        <f t="shared" si="25"/>
        <v>5941.5</v>
      </c>
      <c r="J408">
        <v>986708.5</v>
      </c>
      <c r="N408" s="80"/>
      <c r="R408" s="80">
        <f t="shared" si="30"/>
        <v>5941.5</v>
      </c>
      <c r="S408">
        <f t="shared" si="27"/>
        <v>986708.5</v>
      </c>
      <c r="T408" s="80">
        <f t="shared" si="29"/>
        <v>5941.5</v>
      </c>
    </row>
    <row r="409" spans="1:20" x14ac:dyDescent="0.25">
      <c r="A409" s="91">
        <v>5942</v>
      </c>
      <c r="B409" s="31">
        <f t="shared" si="24"/>
        <v>955384</v>
      </c>
      <c r="C409" s="31">
        <v>995084</v>
      </c>
      <c r="D409">
        <v>16804</v>
      </c>
      <c r="E409" s="97">
        <f>[4]EvapRates!$D$16*'FlamingGorge-Elevation-Area'!D409</f>
        <v>35288.399999999994</v>
      </c>
      <c r="F409" s="3">
        <v>405</v>
      </c>
      <c r="H409" s="98">
        <f t="shared" si="26"/>
        <v>995084</v>
      </c>
      <c r="I409" s="99">
        <f t="shared" si="25"/>
        <v>5942</v>
      </c>
      <c r="J409">
        <v>995084</v>
      </c>
      <c r="N409" s="80"/>
      <c r="R409" s="80">
        <f t="shared" si="30"/>
        <v>5942</v>
      </c>
      <c r="S409">
        <f t="shared" si="27"/>
        <v>995084</v>
      </c>
      <c r="T409" s="80">
        <f t="shared" si="29"/>
        <v>5942</v>
      </c>
    </row>
    <row r="410" spans="1:20" x14ac:dyDescent="0.25">
      <c r="A410" s="91">
        <v>5942.5</v>
      </c>
      <c r="B410" s="31">
        <f t="shared" si="24"/>
        <v>963812.5</v>
      </c>
      <c r="C410" s="31">
        <v>1003512.5</v>
      </c>
      <c r="D410">
        <v>16910</v>
      </c>
      <c r="E410" s="97">
        <f>[4]EvapRates!$D$16*'FlamingGorge-Elevation-Area'!D410</f>
        <v>35510.999999999993</v>
      </c>
      <c r="F410" s="3">
        <v>406</v>
      </c>
      <c r="H410" s="98">
        <f t="shared" si="26"/>
        <v>1003512.5</v>
      </c>
      <c r="I410" s="99">
        <f t="shared" si="25"/>
        <v>5942.5</v>
      </c>
      <c r="J410">
        <v>1003512.5</v>
      </c>
      <c r="N410" s="80"/>
      <c r="R410" s="80">
        <f t="shared" si="30"/>
        <v>5942.5</v>
      </c>
      <c r="S410">
        <f t="shared" si="27"/>
        <v>1003512.5</v>
      </c>
      <c r="T410" s="80">
        <f t="shared" si="29"/>
        <v>5942.5</v>
      </c>
    </row>
    <row r="411" spans="1:20" x14ac:dyDescent="0.25">
      <c r="A411" s="91">
        <v>5943</v>
      </c>
      <c r="B411" s="31">
        <f t="shared" si="24"/>
        <v>972294</v>
      </c>
      <c r="C411" s="31">
        <v>1011994</v>
      </c>
      <c r="D411">
        <v>17016</v>
      </c>
      <c r="E411" s="97">
        <f>[4]EvapRates!$D$16*'FlamingGorge-Elevation-Area'!D411</f>
        <v>35733.599999999991</v>
      </c>
      <c r="F411" s="3">
        <v>407</v>
      </c>
      <c r="H411" s="98">
        <f t="shared" si="26"/>
        <v>1011994</v>
      </c>
      <c r="I411" s="99">
        <f t="shared" si="25"/>
        <v>5943</v>
      </c>
      <c r="J411">
        <v>1011994</v>
      </c>
      <c r="N411" s="80"/>
      <c r="R411" s="80">
        <f t="shared" si="30"/>
        <v>5943</v>
      </c>
      <c r="S411">
        <f t="shared" si="27"/>
        <v>1011994</v>
      </c>
      <c r="T411" s="80">
        <f t="shared" si="29"/>
        <v>5943</v>
      </c>
    </row>
    <row r="412" spans="1:20" x14ac:dyDescent="0.25">
      <c r="A412" s="91">
        <v>5943.5</v>
      </c>
      <c r="B412" s="31">
        <f t="shared" si="24"/>
        <v>980828.5</v>
      </c>
      <c r="C412" s="31">
        <v>1020528.5</v>
      </c>
      <c r="D412">
        <v>17122</v>
      </c>
      <c r="E412" s="97">
        <f>[4]EvapRates!$D$16*'FlamingGorge-Elevation-Area'!D412</f>
        <v>35956.199999999997</v>
      </c>
      <c r="F412" s="3">
        <v>408</v>
      </c>
      <c r="H412" s="98">
        <f t="shared" si="26"/>
        <v>1020528.5</v>
      </c>
      <c r="I412" s="99">
        <f t="shared" si="25"/>
        <v>5943.5</v>
      </c>
      <c r="J412">
        <v>1020528.5</v>
      </c>
      <c r="N412" s="80"/>
      <c r="R412" s="80">
        <f t="shared" si="30"/>
        <v>5943.5</v>
      </c>
      <c r="S412">
        <f t="shared" si="27"/>
        <v>1020528.5</v>
      </c>
      <c r="T412" s="80">
        <f t="shared" si="29"/>
        <v>5943.5</v>
      </c>
    </row>
    <row r="413" spans="1:20" x14ac:dyDescent="0.25">
      <c r="A413" s="91">
        <v>5944</v>
      </c>
      <c r="B413" s="31">
        <f t="shared" si="24"/>
        <v>989416</v>
      </c>
      <c r="C413" s="31">
        <v>1029116</v>
      </c>
      <c r="D413">
        <v>17228</v>
      </c>
      <c r="E413" s="97">
        <f>[4]EvapRates!$D$16*'FlamingGorge-Elevation-Area'!D413</f>
        <v>36178.799999999996</v>
      </c>
      <c r="F413" s="3">
        <v>409</v>
      </c>
      <c r="H413" s="98">
        <f t="shared" si="26"/>
        <v>1029116</v>
      </c>
      <c r="I413" s="99">
        <f t="shared" si="25"/>
        <v>5944</v>
      </c>
      <c r="J413">
        <v>1029116</v>
      </c>
      <c r="N413" s="80"/>
      <c r="R413" s="80">
        <f t="shared" si="30"/>
        <v>5944</v>
      </c>
      <c r="S413">
        <f t="shared" si="27"/>
        <v>1029116</v>
      </c>
      <c r="T413" s="80">
        <f t="shared" si="29"/>
        <v>5944</v>
      </c>
    </row>
    <row r="414" spans="1:20" x14ac:dyDescent="0.25">
      <c r="A414" s="91">
        <v>5944.5</v>
      </c>
      <c r="B414" s="31">
        <f t="shared" si="24"/>
        <v>998056.5</v>
      </c>
      <c r="C414" s="31">
        <v>1037756.5</v>
      </c>
      <c r="D414">
        <v>17334</v>
      </c>
      <c r="E414" s="97">
        <f>[4]EvapRates!$D$16*'FlamingGorge-Elevation-Area'!D414</f>
        <v>36401.399999999994</v>
      </c>
      <c r="F414" s="3">
        <v>410</v>
      </c>
      <c r="H414" s="98">
        <f t="shared" si="26"/>
        <v>1037756.5</v>
      </c>
      <c r="I414" s="99">
        <f t="shared" si="25"/>
        <v>5944.5</v>
      </c>
      <c r="J414">
        <v>1037756.5</v>
      </c>
      <c r="N414" s="80"/>
      <c r="R414" s="80">
        <f t="shared" si="30"/>
        <v>5944.5</v>
      </c>
      <c r="S414">
        <f t="shared" si="27"/>
        <v>1037756.5</v>
      </c>
      <c r="T414" s="80">
        <f t="shared" si="29"/>
        <v>5944.5</v>
      </c>
    </row>
    <row r="415" spans="1:20" x14ac:dyDescent="0.25">
      <c r="A415" s="91">
        <v>5945</v>
      </c>
      <c r="B415" s="31">
        <f t="shared" ref="B415:B478" si="31">C415-39700</f>
        <v>1006750</v>
      </c>
      <c r="C415" s="31">
        <v>1046450</v>
      </c>
      <c r="D415">
        <v>17440</v>
      </c>
      <c r="E415" s="97">
        <f>[4]EvapRates!$D$16*'FlamingGorge-Elevation-Area'!D415</f>
        <v>36623.999999999993</v>
      </c>
      <c r="F415" s="3">
        <v>411</v>
      </c>
      <c r="H415" s="98">
        <f t="shared" si="26"/>
        <v>1046450</v>
      </c>
      <c r="I415" s="99">
        <f t="shared" si="25"/>
        <v>5945</v>
      </c>
      <c r="J415">
        <v>1046450</v>
      </c>
      <c r="N415" s="80"/>
      <c r="R415" s="80">
        <f t="shared" si="30"/>
        <v>5945</v>
      </c>
      <c r="S415">
        <f t="shared" si="27"/>
        <v>1046450</v>
      </c>
      <c r="T415" s="80">
        <f t="shared" si="29"/>
        <v>5945</v>
      </c>
    </row>
    <row r="416" spans="1:20" x14ac:dyDescent="0.25">
      <c r="A416" s="91">
        <v>5945.5</v>
      </c>
      <c r="B416" s="31">
        <f t="shared" si="31"/>
        <v>1015496.5</v>
      </c>
      <c r="C416" s="31">
        <v>1055196.5</v>
      </c>
      <c r="D416">
        <v>17546</v>
      </c>
      <c r="E416" s="97">
        <f>[4]EvapRates!$D$16*'FlamingGorge-Elevation-Area'!D416</f>
        <v>36846.599999999991</v>
      </c>
      <c r="F416" s="3">
        <v>412</v>
      </c>
      <c r="H416" s="98">
        <f t="shared" si="26"/>
        <v>1055196.5</v>
      </c>
      <c r="I416" s="99">
        <f t="shared" si="25"/>
        <v>5945.5</v>
      </c>
      <c r="J416">
        <v>1055196.5</v>
      </c>
      <c r="N416" s="80"/>
      <c r="R416" s="80">
        <f t="shared" si="30"/>
        <v>5945.5</v>
      </c>
      <c r="S416">
        <f t="shared" si="27"/>
        <v>1055196.5</v>
      </c>
      <c r="T416" s="80">
        <f t="shared" si="29"/>
        <v>5945.5</v>
      </c>
    </row>
    <row r="417" spans="1:20" x14ac:dyDescent="0.25">
      <c r="A417" s="91">
        <v>5946</v>
      </c>
      <c r="B417" s="31">
        <f t="shared" si="31"/>
        <v>1024296</v>
      </c>
      <c r="C417" s="31">
        <v>1063996</v>
      </c>
      <c r="D417">
        <v>17652</v>
      </c>
      <c r="E417" s="97">
        <f>[4]EvapRates!$D$16*'FlamingGorge-Elevation-Area'!D417</f>
        <v>37069.199999999997</v>
      </c>
      <c r="F417" s="3">
        <v>413</v>
      </c>
      <c r="H417" s="98">
        <f t="shared" si="26"/>
        <v>1063996</v>
      </c>
      <c r="I417" s="99">
        <f t="shared" si="25"/>
        <v>5946</v>
      </c>
      <c r="J417">
        <v>1063996</v>
      </c>
      <c r="N417" s="80"/>
      <c r="R417" s="80">
        <f t="shared" si="30"/>
        <v>5946</v>
      </c>
      <c r="S417">
        <f t="shared" si="27"/>
        <v>1063996</v>
      </c>
      <c r="T417" s="80">
        <f t="shared" si="29"/>
        <v>5946</v>
      </c>
    </row>
    <row r="418" spans="1:20" x14ac:dyDescent="0.25">
      <c r="A418" s="91">
        <v>5946.5</v>
      </c>
      <c r="B418" s="31">
        <f t="shared" si="31"/>
        <v>1033148.5</v>
      </c>
      <c r="C418" s="31">
        <v>1072848.5</v>
      </c>
      <c r="D418">
        <v>17758</v>
      </c>
      <c r="E418" s="97">
        <f>[4]EvapRates!$D$16*'FlamingGorge-Elevation-Area'!D418</f>
        <v>37291.799999999996</v>
      </c>
      <c r="F418" s="3">
        <v>414</v>
      </c>
      <c r="H418" s="98">
        <f t="shared" si="26"/>
        <v>1072848.5</v>
      </c>
      <c r="I418" s="99">
        <f t="shared" si="25"/>
        <v>5946.5</v>
      </c>
      <c r="J418">
        <v>1072848.5</v>
      </c>
      <c r="N418" s="80"/>
      <c r="R418" s="80">
        <f t="shared" si="30"/>
        <v>5946.5</v>
      </c>
      <c r="S418">
        <f t="shared" si="27"/>
        <v>1072848.5</v>
      </c>
      <c r="T418" s="80">
        <f t="shared" si="29"/>
        <v>5946.5</v>
      </c>
    </row>
    <row r="419" spans="1:20" x14ac:dyDescent="0.25">
      <c r="A419" s="91">
        <v>5947</v>
      </c>
      <c r="B419" s="31">
        <f t="shared" si="31"/>
        <v>1042054</v>
      </c>
      <c r="C419" s="31">
        <v>1081754</v>
      </c>
      <c r="D419">
        <v>17864</v>
      </c>
      <c r="E419" s="97">
        <f>[4]EvapRates!$D$16*'FlamingGorge-Elevation-Area'!D419</f>
        <v>37514.399999999994</v>
      </c>
      <c r="F419" s="3">
        <v>415</v>
      </c>
      <c r="H419" s="98">
        <f t="shared" si="26"/>
        <v>1081754</v>
      </c>
      <c r="I419" s="99">
        <f t="shared" si="25"/>
        <v>5947</v>
      </c>
      <c r="J419">
        <v>1081754</v>
      </c>
      <c r="N419" s="80"/>
      <c r="R419" s="80">
        <f t="shared" si="30"/>
        <v>5947</v>
      </c>
      <c r="S419">
        <f t="shared" si="27"/>
        <v>1081754</v>
      </c>
      <c r="T419" s="80">
        <f t="shared" si="29"/>
        <v>5947</v>
      </c>
    </row>
    <row r="420" spans="1:20" x14ac:dyDescent="0.25">
      <c r="A420" s="91">
        <v>5947.5</v>
      </c>
      <c r="B420" s="31">
        <f t="shared" si="31"/>
        <v>1051012.5</v>
      </c>
      <c r="C420" s="31">
        <v>1090712.5</v>
      </c>
      <c r="D420">
        <v>17970</v>
      </c>
      <c r="E420" s="97">
        <f>[4]EvapRates!$D$16*'FlamingGorge-Elevation-Area'!D420</f>
        <v>37736.999999999993</v>
      </c>
      <c r="F420" s="3">
        <v>416</v>
      </c>
      <c r="H420" s="98">
        <f t="shared" si="26"/>
        <v>1090712.5</v>
      </c>
      <c r="I420" s="99">
        <f t="shared" si="25"/>
        <v>5947.5</v>
      </c>
      <c r="J420">
        <v>1090712.5</v>
      </c>
      <c r="N420" s="80"/>
      <c r="R420" s="80">
        <f t="shared" si="30"/>
        <v>5947.5</v>
      </c>
      <c r="S420">
        <f t="shared" si="27"/>
        <v>1090712.5</v>
      </c>
      <c r="T420" s="80">
        <f t="shared" si="29"/>
        <v>5947.5</v>
      </c>
    </row>
    <row r="421" spans="1:20" x14ac:dyDescent="0.25">
      <c r="A421" s="91">
        <v>5948</v>
      </c>
      <c r="B421" s="31">
        <f t="shared" si="31"/>
        <v>1060024</v>
      </c>
      <c r="C421" s="31">
        <v>1099724</v>
      </c>
      <c r="D421">
        <v>18076</v>
      </c>
      <c r="E421" s="97">
        <f>[4]EvapRates!$D$16*'FlamingGorge-Elevation-Area'!D421</f>
        <v>37959.599999999991</v>
      </c>
      <c r="F421" s="3">
        <v>417</v>
      </c>
      <c r="H421" s="98">
        <f t="shared" si="26"/>
        <v>1099724</v>
      </c>
      <c r="I421" s="99">
        <f t="shared" si="25"/>
        <v>5948</v>
      </c>
      <c r="J421">
        <v>1099724</v>
      </c>
      <c r="N421" s="80"/>
      <c r="R421" s="80">
        <f t="shared" si="30"/>
        <v>5948</v>
      </c>
      <c r="S421">
        <f t="shared" si="27"/>
        <v>1099724</v>
      </c>
      <c r="T421" s="80">
        <f t="shared" si="29"/>
        <v>5948</v>
      </c>
    </row>
    <row r="422" spans="1:20" x14ac:dyDescent="0.25">
      <c r="A422" s="91">
        <v>5948.5</v>
      </c>
      <c r="B422" s="31">
        <f t="shared" si="31"/>
        <v>1069088.5</v>
      </c>
      <c r="C422" s="31">
        <v>1108788.5</v>
      </c>
      <c r="D422">
        <v>18182</v>
      </c>
      <c r="E422" s="97">
        <f>[4]EvapRates!$D$16*'FlamingGorge-Elevation-Area'!D422</f>
        <v>38182.199999999997</v>
      </c>
      <c r="F422" s="3">
        <v>418</v>
      </c>
      <c r="H422" s="98">
        <f t="shared" si="26"/>
        <v>1108788.5</v>
      </c>
      <c r="I422" s="99">
        <f t="shared" si="25"/>
        <v>5948.5</v>
      </c>
      <c r="J422">
        <v>1108788.5</v>
      </c>
      <c r="N422" s="80"/>
      <c r="R422" s="80">
        <f t="shared" si="30"/>
        <v>5948.5</v>
      </c>
      <c r="S422">
        <f t="shared" si="27"/>
        <v>1108788.5</v>
      </c>
      <c r="T422" s="80">
        <f t="shared" si="29"/>
        <v>5948.5</v>
      </c>
    </row>
    <row r="423" spans="1:20" x14ac:dyDescent="0.25">
      <c r="A423" s="91">
        <v>5949</v>
      </c>
      <c r="B423" s="31">
        <f t="shared" si="31"/>
        <v>1078206</v>
      </c>
      <c r="C423" s="31">
        <v>1117906</v>
      </c>
      <c r="D423">
        <v>18288</v>
      </c>
      <c r="E423" s="97">
        <f>[4]EvapRates!$D$16*'FlamingGorge-Elevation-Area'!D423</f>
        <v>38404.799999999996</v>
      </c>
      <c r="F423" s="3">
        <v>419</v>
      </c>
      <c r="H423" s="98">
        <f t="shared" si="26"/>
        <v>1117906</v>
      </c>
      <c r="I423" s="99">
        <f t="shared" si="25"/>
        <v>5949</v>
      </c>
      <c r="J423">
        <v>1117906</v>
      </c>
      <c r="N423" s="80"/>
      <c r="R423" s="80">
        <f t="shared" si="30"/>
        <v>5949</v>
      </c>
      <c r="S423">
        <f t="shared" si="27"/>
        <v>1117906</v>
      </c>
      <c r="T423" s="80">
        <f t="shared" si="29"/>
        <v>5949</v>
      </c>
    </row>
    <row r="424" spans="1:20" x14ac:dyDescent="0.25">
      <c r="A424" s="91">
        <v>5949.5</v>
      </c>
      <c r="B424" s="31">
        <f t="shared" si="31"/>
        <v>1087376.5</v>
      </c>
      <c r="C424" s="31">
        <v>1127076.5</v>
      </c>
      <c r="D424">
        <v>18394</v>
      </c>
      <c r="E424" s="97">
        <f>[4]EvapRates!$D$16*'FlamingGorge-Elevation-Area'!D424</f>
        <v>38627.399999999994</v>
      </c>
      <c r="F424" s="3">
        <v>420</v>
      </c>
      <c r="H424" s="98">
        <f t="shared" si="26"/>
        <v>1127076.5</v>
      </c>
      <c r="I424" s="99">
        <f t="shared" si="25"/>
        <v>5949.5</v>
      </c>
      <c r="J424">
        <v>1127076.5</v>
      </c>
      <c r="N424" s="80"/>
      <c r="R424" s="80">
        <f t="shared" si="30"/>
        <v>5949.5</v>
      </c>
      <c r="S424">
        <f t="shared" si="27"/>
        <v>1127076.5</v>
      </c>
      <c r="T424" s="80">
        <f t="shared" si="29"/>
        <v>5949.5</v>
      </c>
    </row>
    <row r="425" spans="1:20" x14ac:dyDescent="0.25">
      <c r="A425" s="91">
        <v>5950</v>
      </c>
      <c r="B425" s="31">
        <f t="shared" si="31"/>
        <v>1096600</v>
      </c>
      <c r="C425" s="31">
        <v>1136300</v>
      </c>
      <c r="D425">
        <v>18500</v>
      </c>
      <c r="E425" s="97">
        <f>[4]EvapRates!$D$16*'FlamingGorge-Elevation-Area'!D425</f>
        <v>38849.999999999993</v>
      </c>
      <c r="F425" s="3">
        <v>421</v>
      </c>
      <c r="H425" s="98">
        <f t="shared" si="26"/>
        <v>1136300</v>
      </c>
      <c r="I425" s="99">
        <f t="shared" si="25"/>
        <v>5950</v>
      </c>
      <c r="J425">
        <v>1136300</v>
      </c>
      <c r="N425" s="80"/>
      <c r="R425" s="80">
        <f t="shared" si="30"/>
        <v>5950</v>
      </c>
      <c r="S425">
        <f t="shared" si="27"/>
        <v>1136300</v>
      </c>
      <c r="T425" s="80">
        <f t="shared" si="29"/>
        <v>5950</v>
      </c>
    </row>
    <row r="426" spans="1:20" x14ac:dyDescent="0.25">
      <c r="A426" s="91">
        <v>5950.5</v>
      </c>
      <c r="B426" s="31">
        <f t="shared" si="31"/>
        <v>1105874.25</v>
      </c>
      <c r="C426" s="31">
        <v>1145574.25</v>
      </c>
      <c r="D426">
        <v>18597</v>
      </c>
      <c r="E426" s="97">
        <f>[4]EvapRates!$D$16*'FlamingGorge-Elevation-Area'!D426</f>
        <v>39053.69999999999</v>
      </c>
      <c r="F426" s="3">
        <v>422</v>
      </c>
      <c r="H426" s="98">
        <f t="shared" si="26"/>
        <v>1145574.25</v>
      </c>
      <c r="I426" s="99">
        <f t="shared" si="25"/>
        <v>5950.5</v>
      </c>
      <c r="J426">
        <v>1145574.25</v>
      </c>
      <c r="N426" s="80"/>
      <c r="R426" s="80">
        <f t="shared" si="30"/>
        <v>5950.5</v>
      </c>
      <c r="S426">
        <f t="shared" si="27"/>
        <v>1145574.25</v>
      </c>
      <c r="T426" s="80">
        <f t="shared" si="29"/>
        <v>5950.5</v>
      </c>
    </row>
    <row r="427" spans="1:20" x14ac:dyDescent="0.25">
      <c r="A427" s="91">
        <v>5951</v>
      </c>
      <c r="B427" s="31">
        <f t="shared" si="31"/>
        <v>1115197</v>
      </c>
      <c r="C427" s="31">
        <v>1154897</v>
      </c>
      <c r="D427">
        <v>18694</v>
      </c>
      <c r="E427" s="97">
        <f>[4]EvapRates!$D$16*'FlamingGorge-Elevation-Area'!D427</f>
        <v>39257.399999999994</v>
      </c>
      <c r="F427" s="3">
        <v>423</v>
      </c>
      <c r="H427" s="98">
        <f t="shared" si="26"/>
        <v>1154897</v>
      </c>
      <c r="I427" s="99">
        <f t="shared" si="25"/>
        <v>5951</v>
      </c>
      <c r="J427">
        <v>1154897</v>
      </c>
      <c r="N427" s="80"/>
      <c r="R427" s="80">
        <f t="shared" si="30"/>
        <v>5951</v>
      </c>
      <c r="S427">
        <f t="shared" si="27"/>
        <v>1154897</v>
      </c>
      <c r="T427" s="80">
        <f t="shared" si="29"/>
        <v>5951</v>
      </c>
    </row>
    <row r="428" spans="1:20" x14ac:dyDescent="0.25">
      <c r="A428" s="91">
        <v>5951.5</v>
      </c>
      <c r="B428" s="31">
        <f t="shared" si="31"/>
        <v>1124568.25</v>
      </c>
      <c r="C428" s="31">
        <v>1164268.25</v>
      </c>
      <c r="D428">
        <v>18791</v>
      </c>
      <c r="E428" s="97">
        <f>[4]EvapRates!$D$16*'FlamingGorge-Elevation-Area'!D428</f>
        <v>39461.099999999991</v>
      </c>
      <c r="F428" s="3">
        <v>424</v>
      </c>
      <c r="H428" s="98">
        <f t="shared" si="26"/>
        <v>1164268.25</v>
      </c>
      <c r="I428" s="99">
        <f t="shared" si="25"/>
        <v>5951.5</v>
      </c>
      <c r="J428">
        <v>1164268.25</v>
      </c>
      <c r="N428" s="80"/>
      <c r="R428" s="80">
        <f t="shared" si="30"/>
        <v>5951.5</v>
      </c>
      <c r="S428">
        <f t="shared" si="27"/>
        <v>1164268.25</v>
      </c>
      <c r="T428" s="80">
        <f t="shared" si="29"/>
        <v>5951.5</v>
      </c>
    </row>
    <row r="429" spans="1:20" x14ac:dyDescent="0.25">
      <c r="A429" s="91">
        <v>5952</v>
      </c>
      <c r="B429" s="31">
        <f t="shared" si="31"/>
        <v>1133988</v>
      </c>
      <c r="C429" s="31">
        <v>1173688</v>
      </c>
      <c r="D429">
        <v>18888</v>
      </c>
      <c r="E429" s="97">
        <f>[4]EvapRates!$D$16*'FlamingGorge-Elevation-Area'!D429</f>
        <v>39664.799999999996</v>
      </c>
      <c r="F429" s="3">
        <v>425</v>
      </c>
      <c r="H429" s="98">
        <f t="shared" si="26"/>
        <v>1173688</v>
      </c>
      <c r="I429" s="99">
        <f t="shared" si="25"/>
        <v>5952</v>
      </c>
      <c r="J429">
        <v>1173688</v>
      </c>
      <c r="N429" s="80"/>
      <c r="R429" s="80">
        <f t="shared" si="30"/>
        <v>5952</v>
      </c>
      <c r="S429">
        <f t="shared" si="27"/>
        <v>1173688</v>
      </c>
      <c r="T429" s="80">
        <f t="shared" si="29"/>
        <v>5952</v>
      </c>
    </row>
    <row r="430" spans="1:20" x14ac:dyDescent="0.25">
      <c r="A430" s="91">
        <v>5952.5</v>
      </c>
      <c r="B430" s="31">
        <f t="shared" si="31"/>
        <v>1143456.25</v>
      </c>
      <c r="C430" s="31">
        <v>1183156.25</v>
      </c>
      <c r="D430">
        <v>18985</v>
      </c>
      <c r="E430" s="97">
        <f>[4]EvapRates!$D$16*'FlamingGorge-Elevation-Area'!D430</f>
        <v>39868.499999999993</v>
      </c>
      <c r="F430" s="3">
        <v>426</v>
      </c>
      <c r="H430" s="98">
        <f t="shared" si="26"/>
        <v>1183156.25</v>
      </c>
      <c r="I430" s="99">
        <f t="shared" si="25"/>
        <v>5952.5</v>
      </c>
      <c r="J430">
        <v>1183156.25</v>
      </c>
      <c r="N430" s="80"/>
      <c r="R430" s="80">
        <f t="shared" si="30"/>
        <v>5952.5</v>
      </c>
      <c r="S430">
        <f t="shared" si="27"/>
        <v>1183156.25</v>
      </c>
      <c r="T430" s="80">
        <f t="shared" si="29"/>
        <v>5952.5</v>
      </c>
    </row>
    <row r="431" spans="1:20" x14ac:dyDescent="0.25">
      <c r="A431" s="91">
        <v>5953</v>
      </c>
      <c r="B431" s="31">
        <f t="shared" si="31"/>
        <v>1152973</v>
      </c>
      <c r="C431" s="31">
        <v>1192673</v>
      </c>
      <c r="D431">
        <v>19082</v>
      </c>
      <c r="E431" s="97">
        <f>[4]EvapRates!$D$16*'FlamingGorge-Elevation-Area'!D431</f>
        <v>40072.19999999999</v>
      </c>
      <c r="F431" s="3">
        <v>427</v>
      </c>
      <c r="H431" s="98">
        <f t="shared" si="26"/>
        <v>1192673</v>
      </c>
      <c r="I431" s="99">
        <f t="shared" si="25"/>
        <v>5953</v>
      </c>
      <c r="J431">
        <v>1192673</v>
      </c>
      <c r="N431" s="80"/>
      <c r="R431" s="80">
        <f t="shared" si="30"/>
        <v>5953</v>
      </c>
      <c r="S431">
        <f t="shared" si="27"/>
        <v>1192673</v>
      </c>
      <c r="T431" s="80">
        <f t="shared" si="29"/>
        <v>5953</v>
      </c>
    </row>
    <row r="432" spans="1:20" x14ac:dyDescent="0.25">
      <c r="A432" s="91">
        <v>5953.5</v>
      </c>
      <c r="B432" s="31">
        <f t="shared" si="31"/>
        <v>1162538.25</v>
      </c>
      <c r="C432" s="31">
        <v>1202238.25</v>
      </c>
      <c r="D432">
        <v>19179</v>
      </c>
      <c r="E432" s="97">
        <f>[4]EvapRates!$D$16*'FlamingGorge-Elevation-Area'!D432</f>
        <v>40275.899999999994</v>
      </c>
      <c r="F432" s="3">
        <v>428</v>
      </c>
      <c r="H432" s="98">
        <f t="shared" si="26"/>
        <v>1202238.25</v>
      </c>
      <c r="I432" s="99">
        <f t="shared" si="25"/>
        <v>5953.5</v>
      </c>
      <c r="J432">
        <v>1202238.25</v>
      </c>
      <c r="N432" s="80"/>
      <c r="R432" s="80">
        <f t="shared" si="30"/>
        <v>5953.5</v>
      </c>
      <c r="S432">
        <f t="shared" si="27"/>
        <v>1202238.25</v>
      </c>
      <c r="T432" s="80">
        <f t="shared" si="29"/>
        <v>5953.5</v>
      </c>
    </row>
    <row r="433" spans="1:20" x14ac:dyDescent="0.25">
      <c r="A433" s="91">
        <v>5954</v>
      </c>
      <c r="B433" s="31">
        <f t="shared" si="31"/>
        <v>1172152</v>
      </c>
      <c r="C433" s="31">
        <v>1211852</v>
      </c>
      <c r="D433">
        <v>19276</v>
      </c>
      <c r="E433" s="97">
        <f>[4]EvapRates!$D$16*'FlamingGorge-Elevation-Area'!D433</f>
        <v>40479.599999999991</v>
      </c>
      <c r="F433" s="3">
        <v>429</v>
      </c>
      <c r="H433" s="98">
        <f t="shared" si="26"/>
        <v>1211852</v>
      </c>
      <c r="I433" s="99">
        <f t="shared" si="25"/>
        <v>5954</v>
      </c>
      <c r="J433">
        <v>1211852</v>
      </c>
      <c r="N433" s="80"/>
      <c r="R433" s="80">
        <f t="shared" si="30"/>
        <v>5954</v>
      </c>
      <c r="S433">
        <f t="shared" si="27"/>
        <v>1211852</v>
      </c>
      <c r="T433" s="80">
        <f t="shared" si="29"/>
        <v>5954</v>
      </c>
    </row>
    <row r="434" spans="1:20" x14ac:dyDescent="0.25">
      <c r="A434" s="91">
        <v>5954.5</v>
      </c>
      <c r="B434" s="31">
        <f t="shared" si="31"/>
        <v>1181814.25</v>
      </c>
      <c r="C434" s="31">
        <v>1221514.25</v>
      </c>
      <c r="D434">
        <v>19373</v>
      </c>
      <c r="E434" s="97">
        <f>[4]EvapRates!$D$16*'FlamingGorge-Elevation-Area'!D434</f>
        <v>40683.299999999996</v>
      </c>
      <c r="F434" s="3">
        <v>430</v>
      </c>
      <c r="H434" s="98">
        <f t="shared" si="26"/>
        <v>1221514.25</v>
      </c>
      <c r="I434" s="99">
        <f t="shared" si="25"/>
        <v>5954.5</v>
      </c>
      <c r="J434">
        <v>1221514.25</v>
      </c>
      <c r="N434" s="80"/>
      <c r="R434" s="80">
        <f t="shared" si="30"/>
        <v>5954.5</v>
      </c>
      <c r="S434">
        <f t="shared" si="27"/>
        <v>1221514.25</v>
      </c>
      <c r="T434" s="80">
        <f t="shared" si="29"/>
        <v>5954.5</v>
      </c>
    </row>
    <row r="435" spans="1:20" x14ac:dyDescent="0.25">
      <c r="A435" s="91">
        <v>5955</v>
      </c>
      <c r="B435" s="31">
        <f t="shared" si="31"/>
        <v>1191525</v>
      </c>
      <c r="C435" s="31">
        <v>1231225</v>
      </c>
      <c r="D435">
        <v>19470</v>
      </c>
      <c r="E435" s="97">
        <f>[4]EvapRates!$D$16*'FlamingGorge-Elevation-Area'!D435</f>
        <v>40886.999999999993</v>
      </c>
      <c r="F435" s="3">
        <v>431</v>
      </c>
      <c r="H435" s="98">
        <f t="shared" si="26"/>
        <v>1231225</v>
      </c>
      <c r="I435" s="99">
        <f t="shared" si="25"/>
        <v>5955</v>
      </c>
      <c r="J435">
        <v>1231225</v>
      </c>
      <c r="N435" s="80"/>
      <c r="R435" s="80">
        <f t="shared" si="30"/>
        <v>5955</v>
      </c>
      <c r="S435">
        <f t="shared" si="27"/>
        <v>1231225</v>
      </c>
      <c r="T435" s="80">
        <f t="shared" si="29"/>
        <v>5955</v>
      </c>
    </row>
    <row r="436" spans="1:20" x14ac:dyDescent="0.25">
      <c r="A436" s="91">
        <v>5955.5</v>
      </c>
      <c r="B436" s="31">
        <f t="shared" si="31"/>
        <v>1201284.25</v>
      </c>
      <c r="C436" s="31">
        <v>1240984.25</v>
      </c>
      <c r="D436">
        <v>19567</v>
      </c>
      <c r="E436" s="97">
        <f>[4]EvapRates!$D$16*'FlamingGorge-Elevation-Area'!D436</f>
        <v>41090.69999999999</v>
      </c>
      <c r="F436" s="3">
        <v>432</v>
      </c>
      <c r="H436" s="98">
        <f t="shared" si="26"/>
        <v>1240984.25</v>
      </c>
      <c r="I436" s="99">
        <f t="shared" si="25"/>
        <v>5955.5</v>
      </c>
      <c r="J436">
        <v>1240984.25</v>
      </c>
      <c r="N436" s="80"/>
      <c r="R436" s="80">
        <f t="shared" si="30"/>
        <v>5955.5</v>
      </c>
      <c r="S436">
        <f t="shared" si="27"/>
        <v>1240984.25</v>
      </c>
      <c r="T436" s="80">
        <f t="shared" si="29"/>
        <v>5955.5</v>
      </c>
    </row>
    <row r="437" spans="1:20" x14ac:dyDescent="0.25">
      <c r="A437" s="91">
        <v>5956</v>
      </c>
      <c r="B437" s="31">
        <f t="shared" si="31"/>
        <v>1211092</v>
      </c>
      <c r="C437" s="31">
        <v>1250792</v>
      </c>
      <c r="D437">
        <v>19664</v>
      </c>
      <c r="E437" s="97">
        <f>[4]EvapRates!$D$16*'FlamingGorge-Elevation-Area'!D437</f>
        <v>41294.399999999994</v>
      </c>
      <c r="F437" s="3">
        <v>433</v>
      </c>
      <c r="H437" s="98">
        <f t="shared" si="26"/>
        <v>1250792</v>
      </c>
      <c r="I437" s="99">
        <f t="shared" si="25"/>
        <v>5956</v>
      </c>
      <c r="J437">
        <v>1250792</v>
      </c>
      <c r="N437" s="80"/>
      <c r="R437" s="80">
        <f t="shared" si="30"/>
        <v>5956</v>
      </c>
      <c r="S437">
        <f t="shared" si="27"/>
        <v>1250792</v>
      </c>
      <c r="T437" s="80">
        <f t="shared" si="29"/>
        <v>5956</v>
      </c>
    </row>
    <row r="438" spans="1:20" x14ac:dyDescent="0.25">
      <c r="A438" s="91">
        <v>5956.5</v>
      </c>
      <c r="B438" s="31">
        <f t="shared" si="31"/>
        <v>1220948.25</v>
      </c>
      <c r="C438" s="31">
        <v>1260648.25</v>
      </c>
      <c r="D438">
        <v>19761</v>
      </c>
      <c r="E438" s="97">
        <f>[4]EvapRates!$D$16*'FlamingGorge-Elevation-Area'!D438</f>
        <v>41498.099999999991</v>
      </c>
      <c r="F438" s="3">
        <v>434</v>
      </c>
      <c r="H438" s="98">
        <f t="shared" si="26"/>
        <v>1260648.25</v>
      </c>
      <c r="I438" s="99">
        <f t="shared" si="25"/>
        <v>5956.5</v>
      </c>
      <c r="J438">
        <v>1260648.25</v>
      </c>
      <c r="N438" s="80"/>
      <c r="R438" s="80">
        <f t="shared" si="30"/>
        <v>5956.5</v>
      </c>
      <c r="S438">
        <f t="shared" si="27"/>
        <v>1260648.25</v>
      </c>
      <c r="T438" s="80">
        <f t="shared" si="29"/>
        <v>5956.5</v>
      </c>
    </row>
    <row r="439" spans="1:20" x14ac:dyDescent="0.25">
      <c r="A439" s="91">
        <v>5957</v>
      </c>
      <c r="B439" s="31">
        <f t="shared" si="31"/>
        <v>1230853</v>
      </c>
      <c r="C439" s="31">
        <v>1270553</v>
      </c>
      <c r="D439">
        <v>19858</v>
      </c>
      <c r="E439" s="97">
        <f>[4]EvapRates!$D$16*'FlamingGorge-Elevation-Area'!D439</f>
        <v>41701.799999999996</v>
      </c>
      <c r="F439" s="3">
        <v>435</v>
      </c>
      <c r="H439" s="98">
        <f t="shared" si="26"/>
        <v>1270553</v>
      </c>
      <c r="I439" s="99">
        <f t="shared" si="25"/>
        <v>5957</v>
      </c>
      <c r="J439">
        <v>1270553</v>
      </c>
      <c r="N439" s="80"/>
      <c r="R439" s="80">
        <f t="shared" si="30"/>
        <v>5957</v>
      </c>
      <c r="S439">
        <f t="shared" si="27"/>
        <v>1270553</v>
      </c>
      <c r="T439" s="80">
        <f t="shared" si="29"/>
        <v>5957</v>
      </c>
    </row>
    <row r="440" spans="1:20" x14ac:dyDescent="0.25">
      <c r="A440" s="91">
        <v>5957.5</v>
      </c>
      <c r="B440" s="31">
        <f t="shared" si="31"/>
        <v>1240806.25</v>
      </c>
      <c r="C440" s="31">
        <v>1280506.25</v>
      </c>
      <c r="D440">
        <v>19955</v>
      </c>
      <c r="E440" s="97">
        <f>[4]EvapRates!$D$16*'FlamingGorge-Elevation-Area'!D440</f>
        <v>41905.499999999993</v>
      </c>
      <c r="F440" s="3">
        <v>436</v>
      </c>
      <c r="H440" s="98">
        <f t="shared" si="26"/>
        <v>1280506.25</v>
      </c>
      <c r="I440" s="99">
        <f t="shared" si="25"/>
        <v>5957.5</v>
      </c>
      <c r="J440">
        <v>1280506.25</v>
      </c>
      <c r="N440" s="80"/>
      <c r="R440" s="80">
        <f t="shared" si="30"/>
        <v>5957.5</v>
      </c>
      <c r="S440">
        <f t="shared" si="27"/>
        <v>1280506.25</v>
      </c>
      <c r="T440" s="80">
        <f t="shared" si="29"/>
        <v>5957.5</v>
      </c>
    </row>
    <row r="441" spans="1:20" x14ac:dyDescent="0.25">
      <c r="A441" s="91">
        <v>5958</v>
      </c>
      <c r="B441" s="31">
        <f t="shared" si="31"/>
        <v>1250808</v>
      </c>
      <c r="C441" s="31">
        <v>1290508</v>
      </c>
      <c r="D441">
        <v>20052</v>
      </c>
      <c r="E441" s="97">
        <f>[4]EvapRates!$D$16*'FlamingGorge-Elevation-Area'!D441</f>
        <v>42109.19999999999</v>
      </c>
      <c r="F441" s="3">
        <v>437</v>
      </c>
      <c r="H441" s="98">
        <f t="shared" si="26"/>
        <v>1290508</v>
      </c>
      <c r="I441" s="99">
        <f t="shared" si="25"/>
        <v>5958</v>
      </c>
      <c r="J441">
        <v>1290508</v>
      </c>
      <c r="N441" s="80"/>
      <c r="R441" s="80">
        <f t="shared" si="30"/>
        <v>5958</v>
      </c>
      <c r="S441">
        <f t="shared" si="27"/>
        <v>1290508</v>
      </c>
      <c r="T441" s="80">
        <f t="shared" si="29"/>
        <v>5958</v>
      </c>
    </row>
    <row r="442" spans="1:20" x14ac:dyDescent="0.25">
      <c r="A442" s="91">
        <v>5958.5</v>
      </c>
      <c r="B442" s="31">
        <f t="shared" si="31"/>
        <v>1260858.25</v>
      </c>
      <c r="C442" s="31">
        <v>1300558.25</v>
      </c>
      <c r="D442">
        <v>20149</v>
      </c>
      <c r="E442" s="97">
        <f>[4]EvapRates!$D$16*'FlamingGorge-Elevation-Area'!D442</f>
        <v>42312.899999999994</v>
      </c>
      <c r="F442" s="3">
        <v>438</v>
      </c>
      <c r="H442" s="98">
        <f t="shared" si="26"/>
        <v>1300558.25</v>
      </c>
      <c r="I442" s="99">
        <f t="shared" si="25"/>
        <v>5958.5</v>
      </c>
      <c r="J442">
        <v>1300558.25</v>
      </c>
      <c r="N442" s="80"/>
      <c r="R442" s="80">
        <f t="shared" si="30"/>
        <v>5958.5</v>
      </c>
      <c r="S442">
        <f t="shared" si="27"/>
        <v>1300558.25</v>
      </c>
      <c r="T442" s="80">
        <f t="shared" si="29"/>
        <v>5958.5</v>
      </c>
    </row>
    <row r="443" spans="1:20" x14ac:dyDescent="0.25">
      <c r="A443" s="91">
        <v>5959</v>
      </c>
      <c r="B443" s="31">
        <f t="shared" si="31"/>
        <v>1270957</v>
      </c>
      <c r="C443" s="31">
        <v>1310657</v>
      </c>
      <c r="D443">
        <v>20246</v>
      </c>
      <c r="E443" s="97">
        <f>[4]EvapRates!$D$16*'FlamingGorge-Elevation-Area'!D443</f>
        <v>42516.599999999991</v>
      </c>
      <c r="F443" s="3">
        <v>439</v>
      </c>
      <c r="H443" s="98">
        <f t="shared" si="26"/>
        <v>1310657</v>
      </c>
      <c r="I443" s="99">
        <f t="shared" si="25"/>
        <v>5959</v>
      </c>
      <c r="J443">
        <v>1310657</v>
      </c>
      <c r="N443" s="80"/>
      <c r="R443" s="80">
        <f t="shared" si="30"/>
        <v>5959</v>
      </c>
      <c r="S443">
        <f t="shared" si="27"/>
        <v>1310657</v>
      </c>
      <c r="T443" s="80">
        <f t="shared" si="29"/>
        <v>5959</v>
      </c>
    </row>
    <row r="444" spans="1:20" x14ac:dyDescent="0.25">
      <c r="A444" s="91">
        <v>5959.5</v>
      </c>
      <c r="B444" s="31">
        <f t="shared" si="31"/>
        <v>1281104.25</v>
      </c>
      <c r="C444" s="31">
        <v>1320804.25</v>
      </c>
      <c r="D444">
        <v>20343</v>
      </c>
      <c r="E444" s="97">
        <f>[4]EvapRates!$D$16*'FlamingGorge-Elevation-Area'!D444</f>
        <v>42720.299999999996</v>
      </c>
      <c r="F444" s="3">
        <v>440</v>
      </c>
      <c r="H444" s="98">
        <f t="shared" si="26"/>
        <v>1320804.25</v>
      </c>
      <c r="I444" s="99">
        <f t="shared" si="25"/>
        <v>5959.5</v>
      </c>
      <c r="J444">
        <v>1320804.25</v>
      </c>
      <c r="N444" s="80"/>
      <c r="R444" s="80">
        <f t="shared" si="30"/>
        <v>5959.5</v>
      </c>
      <c r="S444">
        <f t="shared" si="27"/>
        <v>1320804.25</v>
      </c>
      <c r="T444" s="80">
        <f t="shared" si="29"/>
        <v>5959.5</v>
      </c>
    </row>
    <row r="445" spans="1:20" x14ac:dyDescent="0.25">
      <c r="A445" s="91">
        <v>5960</v>
      </c>
      <c r="B445" s="31">
        <f t="shared" si="31"/>
        <v>1291300</v>
      </c>
      <c r="C445" s="31">
        <v>1331000</v>
      </c>
      <c r="D445">
        <v>20440</v>
      </c>
      <c r="E445" s="97">
        <f>[4]EvapRates!$D$16*'FlamingGorge-Elevation-Area'!D445</f>
        <v>42923.999999999993</v>
      </c>
      <c r="F445" s="3">
        <v>441</v>
      </c>
      <c r="H445" s="98">
        <f t="shared" si="26"/>
        <v>1331000</v>
      </c>
      <c r="I445" s="99">
        <f t="shared" si="25"/>
        <v>5960</v>
      </c>
      <c r="J445">
        <v>1331000</v>
      </c>
      <c r="N445" s="80"/>
      <c r="R445" s="80">
        <f t="shared" si="30"/>
        <v>5960</v>
      </c>
      <c r="S445">
        <f t="shared" si="27"/>
        <v>1331000</v>
      </c>
      <c r="T445" s="80">
        <f t="shared" si="29"/>
        <v>5960</v>
      </c>
    </row>
    <row r="446" spans="1:20" x14ac:dyDescent="0.25">
      <c r="A446" s="91">
        <v>5960.5</v>
      </c>
      <c r="B446" s="31">
        <f t="shared" si="31"/>
        <v>1301544.25</v>
      </c>
      <c r="C446" s="31">
        <v>1341244.25</v>
      </c>
      <c r="D446">
        <v>20537</v>
      </c>
      <c r="E446" s="97">
        <f>[4]EvapRates!$D$16*'FlamingGorge-Elevation-Area'!D446</f>
        <v>43127.69999999999</v>
      </c>
      <c r="F446" s="3">
        <v>442</v>
      </c>
      <c r="H446" s="98">
        <f t="shared" si="26"/>
        <v>1341244.25</v>
      </c>
      <c r="I446" s="99">
        <f t="shared" si="25"/>
        <v>5960.5</v>
      </c>
      <c r="J446">
        <v>1341244.25</v>
      </c>
      <c r="N446" s="80"/>
      <c r="R446" s="80">
        <f t="shared" si="30"/>
        <v>5960.5</v>
      </c>
      <c r="S446">
        <f t="shared" si="27"/>
        <v>1341244.25</v>
      </c>
      <c r="T446" s="80">
        <f t="shared" si="29"/>
        <v>5960.5</v>
      </c>
    </row>
    <row r="447" spans="1:20" x14ac:dyDescent="0.25">
      <c r="A447" s="91">
        <v>5961</v>
      </c>
      <c r="B447" s="31">
        <f t="shared" si="31"/>
        <v>1311837</v>
      </c>
      <c r="C447" s="31">
        <v>1351537</v>
      </c>
      <c r="D447">
        <v>20634</v>
      </c>
      <c r="E447" s="97">
        <f>[4]EvapRates!$D$16*'FlamingGorge-Elevation-Area'!D447</f>
        <v>43331.399999999994</v>
      </c>
      <c r="F447" s="3">
        <v>443</v>
      </c>
      <c r="H447" s="98">
        <f t="shared" si="26"/>
        <v>1351537</v>
      </c>
      <c r="I447" s="99">
        <f t="shared" si="25"/>
        <v>5961</v>
      </c>
      <c r="J447">
        <v>1351537</v>
      </c>
      <c r="N447" s="80"/>
      <c r="R447" s="80">
        <f t="shared" si="30"/>
        <v>5961</v>
      </c>
      <c r="S447">
        <f t="shared" si="27"/>
        <v>1351537</v>
      </c>
      <c r="T447" s="80">
        <f t="shared" si="29"/>
        <v>5961</v>
      </c>
    </row>
    <row r="448" spans="1:20" x14ac:dyDescent="0.25">
      <c r="A448" s="91">
        <v>5961.5</v>
      </c>
      <c r="B448" s="31">
        <f t="shared" si="31"/>
        <v>1322178.25</v>
      </c>
      <c r="C448" s="31">
        <v>1361878.25</v>
      </c>
      <c r="D448">
        <v>20731</v>
      </c>
      <c r="E448" s="97">
        <f>[4]EvapRates!$D$16*'FlamingGorge-Elevation-Area'!D448</f>
        <v>43535.099999999991</v>
      </c>
      <c r="F448" s="3">
        <v>444</v>
      </c>
      <c r="H448" s="98">
        <f t="shared" si="26"/>
        <v>1361878.25</v>
      </c>
      <c r="I448" s="99">
        <f t="shared" si="25"/>
        <v>5961.5</v>
      </c>
      <c r="J448">
        <v>1361878.25</v>
      </c>
      <c r="N448" s="80"/>
      <c r="R448" s="80">
        <f t="shared" si="30"/>
        <v>5961.5</v>
      </c>
      <c r="S448">
        <f t="shared" si="27"/>
        <v>1361878.25</v>
      </c>
      <c r="T448" s="80">
        <f t="shared" si="29"/>
        <v>5961.5</v>
      </c>
    </row>
    <row r="449" spans="1:20" x14ac:dyDescent="0.25">
      <c r="A449" s="91">
        <v>5962</v>
      </c>
      <c r="B449" s="31">
        <f t="shared" si="31"/>
        <v>1332568</v>
      </c>
      <c r="C449" s="31">
        <v>1372268</v>
      </c>
      <c r="D449">
        <v>20828</v>
      </c>
      <c r="E449" s="97">
        <f>[4]EvapRates!$D$16*'FlamingGorge-Elevation-Area'!D449</f>
        <v>43738.799999999996</v>
      </c>
      <c r="F449" s="3">
        <v>445</v>
      </c>
      <c r="H449" s="98">
        <f t="shared" si="26"/>
        <v>1372268</v>
      </c>
      <c r="I449" s="99">
        <f t="shared" si="25"/>
        <v>5962</v>
      </c>
      <c r="J449">
        <v>1372268</v>
      </c>
      <c r="N449" s="80"/>
      <c r="R449" s="80">
        <f t="shared" si="30"/>
        <v>5962</v>
      </c>
      <c r="S449">
        <f t="shared" si="27"/>
        <v>1372268</v>
      </c>
      <c r="T449" s="80">
        <f t="shared" si="29"/>
        <v>5962</v>
      </c>
    </row>
    <row r="450" spans="1:20" x14ac:dyDescent="0.25">
      <c r="A450" s="91">
        <v>5962.5</v>
      </c>
      <c r="B450" s="31">
        <f t="shared" si="31"/>
        <v>1343006.25</v>
      </c>
      <c r="C450" s="31">
        <v>1382706.25</v>
      </c>
      <c r="D450">
        <v>20925</v>
      </c>
      <c r="E450" s="97">
        <f>[4]EvapRates!$D$16*'FlamingGorge-Elevation-Area'!D450</f>
        <v>43942.499999999993</v>
      </c>
      <c r="F450" s="3">
        <v>446</v>
      </c>
      <c r="H450" s="98">
        <f t="shared" si="26"/>
        <v>1382706.25</v>
      </c>
      <c r="I450" s="99">
        <f t="shared" si="25"/>
        <v>5962.5</v>
      </c>
      <c r="J450">
        <v>1382706.25</v>
      </c>
      <c r="N450" s="80"/>
      <c r="R450" s="80">
        <f t="shared" si="30"/>
        <v>5962.5</v>
      </c>
      <c r="S450">
        <f t="shared" si="27"/>
        <v>1382706.25</v>
      </c>
      <c r="T450" s="80">
        <f t="shared" si="29"/>
        <v>5962.5</v>
      </c>
    </row>
    <row r="451" spans="1:20" x14ac:dyDescent="0.25">
      <c r="A451" s="91">
        <v>5963</v>
      </c>
      <c r="B451" s="31">
        <f t="shared" si="31"/>
        <v>1353493</v>
      </c>
      <c r="C451" s="31">
        <v>1393193</v>
      </c>
      <c r="D451">
        <v>21022</v>
      </c>
      <c r="E451" s="97">
        <f>[4]EvapRates!$D$16*'FlamingGorge-Elevation-Area'!D451</f>
        <v>44146.19999999999</v>
      </c>
      <c r="F451" s="3">
        <v>447</v>
      </c>
      <c r="H451" s="98">
        <f t="shared" si="26"/>
        <v>1393193</v>
      </c>
      <c r="I451" s="99">
        <f t="shared" si="25"/>
        <v>5963</v>
      </c>
      <c r="J451">
        <v>1393193</v>
      </c>
      <c r="N451" s="80"/>
      <c r="R451" s="80">
        <f t="shared" si="30"/>
        <v>5963</v>
      </c>
      <c r="S451">
        <f t="shared" si="27"/>
        <v>1393193</v>
      </c>
      <c r="T451" s="80">
        <f t="shared" si="29"/>
        <v>5963</v>
      </c>
    </row>
    <row r="452" spans="1:20" x14ac:dyDescent="0.25">
      <c r="A452" s="91">
        <v>5963.5</v>
      </c>
      <c r="B452" s="31">
        <f t="shared" si="31"/>
        <v>1364028.25</v>
      </c>
      <c r="C452" s="31">
        <v>1403728.25</v>
      </c>
      <c r="D452">
        <v>21119</v>
      </c>
      <c r="E452" s="97">
        <f>[4]EvapRates!$D$16*'FlamingGorge-Elevation-Area'!D452</f>
        <v>44349.899999999994</v>
      </c>
      <c r="F452" s="3">
        <v>448</v>
      </c>
      <c r="H452" s="98">
        <f t="shared" si="26"/>
        <v>1403728.25</v>
      </c>
      <c r="I452" s="99">
        <f t="shared" si="25"/>
        <v>5963.5</v>
      </c>
      <c r="J452">
        <v>1403728.25</v>
      </c>
      <c r="N452" s="80"/>
      <c r="R452" s="80">
        <f t="shared" si="30"/>
        <v>5963.5</v>
      </c>
      <c r="S452">
        <f t="shared" si="27"/>
        <v>1403728.25</v>
      </c>
      <c r="T452" s="80">
        <f t="shared" si="29"/>
        <v>5963.5</v>
      </c>
    </row>
    <row r="453" spans="1:20" x14ac:dyDescent="0.25">
      <c r="A453" s="91">
        <v>5964</v>
      </c>
      <c r="B453" s="31">
        <f t="shared" si="31"/>
        <v>1374612</v>
      </c>
      <c r="C453" s="31">
        <v>1414312</v>
      </c>
      <c r="D453">
        <v>21216</v>
      </c>
      <c r="E453" s="97">
        <f>[4]EvapRates!$D$16*'FlamingGorge-Elevation-Area'!D453</f>
        <v>44553.599999999991</v>
      </c>
      <c r="F453" s="3">
        <v>449</v>
      </c>
      <c r="H453" s="98">
        <f t="shared" si="26"/>
        <v>1414312</v>
      </c>
      <c r="I453" s="99">
        <f t="shared" ref="I453:I516" si="32">A453</f>
        <v>5964</v>
      </c>
      <c r="J453">
        <v>1414312</v>
      </c>
      <c r="N453" s="80"/>
      <c r="R453" s="80">
        <f t="shared" si="30"/>
        <v>5964</v>
      </c>
      <c r="S453">
        <f t="shared" si="27"/>
        <v>1414312</v>
      </c>
      <c r="T453" s="80">
        <f t="shared" si="29"/>
        <v>5964</v>
      </c>
    </row>
    <row r="454" spans="1:20" x14ac:dyDescent="0.25">
      <c r="A454" s="91">
        <v>5964.5</v>
      </c>
      <c r="B454" s="31">
        <f t="shared" si="31"/>
        <v>1385244.25</v>
      </c>
      <c r="C454" s="31">
        <v>1424944.25</v>
      </c>
      <c r="D454">
        <v>21313</v>
      </c>
      <c r="E454" s="97">
        <f>[4]EvapRates!$D$16*'FlamingGorge-Elevation-Area'!D454</f>
        <v>44757.299999999996</v>
      </c>
      <c r="F454" s="3">
        <v>450</v>
      </c>
      <c r="H454" s="98">
        <f t="shared" ref="H454:H517" si="33">C454</f>
        <v>1424944.25</v>
      </c>
      <c r="I454" s="99">
        <f t="shared" si="32"/>
        <v>5964.5</v>
      </c>
      <c r="J454">
        <v>1424944.25</v>
      </c>
      <c r="N454" s="80"/>
      <c r="R454" s="80">
        <f t="shared" si="30"/>
        <v>5964.5</v>
      </c>
      <c r="S454">
        <f t="shared" si="27"/>
        <v>1424944.25</v>
      </c>
      <c r="T454" s="80">
        <f t="shared" si="29"/>
        <v>5964.5</v>
      </c>
    </row>
    <row r="455" spans="1:20" x14ac:dyDescent="0.25">
      <c r="A455" s="91">
        <v>5965</v>
      </c>
      <c r="B455" s="31">
        <f t="shared" si="31"/>
        <v>1395925</v>
      </c>
      <c r="C455" s="31">
        <v>1435625</v>
      </c>
      <c r="D455">
        <v>21410</v>
      </c>
      <c r="E455" s="97">
        <f>[4]EvapRates!$D$16*'FlamingGorge-Elevation-Area'!D455</f>
        <v>44960.999999999993</v>
      </c>
      <c r="F455" s="3">
        <v>451</v>
      </c>
      <c r="H455" s="98">
        <f t="shared" si="33"/>
        <v>1435625</v>
      </c>
      <c r="I455" s="99">
        <f t="shared" si="32"/>
        <v>5965</v>
      </c>
      <c r="J455">
        <v>1435625</v>
      </c>
      <c r="N455" s="80"/>
      <c r="R455" s="80">
        <f t="shared" si="30"/>
        <v>5965</v>
      </c>
      <c r="S455">
        <f t="shared" si="27"/>
        <v>1435625</v>
      </c>
      <c r="T455" s="80">
        <f t="shared" si="29"/>
        <v>5965</v>
      </c>
    </row>
    <row r="456" spans="1:20" x14ac:dyDescent="0.25">
      <c r="A456" s="91">
        <v>5965.5</v>
      </c>
      <c r="B456" s="31">
        <f t="shared" si="31"/>
        <v>1406654.25</v>
      </c>
      <c r="C456" s="31">
        <v>1446354.25</v>
      </c>
      <c r="D456">
        <v>21507</v>
      </c>
      <c r="E456" s="97">
        <f>[4]EvapRates!$D$16*'FlamingGorge-Elevation-Area'!D456</f>
        <v>45164.69999999999</v>
      </c>
      <c r="F456" s="3">
        <v>452</v>
      </c>
      <c r="H456" s="98">
        <f t="shared" si="33"/>
        <v>1446354.25</v>
      </c>
      <c r="I456" s="99">
        <f t="shared" si="32"/>
        <v>5965.5</v>
      </c>
      <c r="J456">
        <v>1446354.25</v>
      </c>
      <c r="N456" s="80"/>
      <c r="R456" s="80">
        <f t="shared" si="30"/>
        <v>5965.5</v>
      </c>
      <c r="S456">
        <f t="shared" si="27"/>
        <v>1446354.25</v>
      </c>
      <c r="T456" s="80">
        <f t="shared" si="29"/>
        <v>5965.5</v>
      </c>
    </row>
    <row r="457" spans="1:20" x14ac:dyDescent="0.25">
      <c r="A457" s="91">
        <v>5966</v>
      </c>
      <c r="B457" s="31">
        <f t="shared" si="31"/>
        <v>1417432</v>
      </c>
      <c r="C457" s="31">
        <v>1457132</v>
      </c>
      <c r="D457">
        <v>21604</v>
      </c>
      <c r="E457" s="97">
        <f>[4]EvapRates!$D$16*'FlamingGorge-Elevation-Area'!D457</f>
        <v>45368.399999999994</v>
      </c>
      <c r="F457" s="3">
        <v>453</v>
      </c>
      <c r="H457" s="98">
        <f t="shared" si="33"/>
        <v>1457132</v>
      </c>
      <c r="I457" s="99">
        <f t="shared" si="32"/>
        <v>5966</v>
      </c>
      <c r="J457">
        <v>1457132</v>
      </c>
      <c r="N457" s="80"/>
      <c r="R457" s="80">
        <f t="shared" si="30"/>
        <v>5966</v>
      </c>
      <c r="S457">
        <f t="shared" si="27"/>
        <v>1457132</v>
      </c>
      <c r="T457" s="80">
        <f t="shared" si="29"/>
        <v>5966</v>
      </c>
    </row>
    <row r="458" spans="1:20" x14ac:dyDescent="0.25">
      <c r="A458" s="91">
        <v>5966.5</v>
      </c>
      <c r="B458" s="31">
        <f t="shared" si="31"/>
        <v>1428258.25</v>
      </c>
      <c r="C458" s="31">
        <v>1467958.25</v>
      </c>
      <c r="D458">
        <v>21701</v>
      </c>
      <c r="E458" s="97">
        <f>[4]EvapRates!$D$16*'FlamingGorge-Elevation-Area'!D458</f>
        <v>45572.099999999991</v>
      </c>
      <c r="F458" s="3">
        <v>454</v>
      </c>
      <c r="H458" s="98">
        <f t="shared" si="33"/>
        <v>1467958.25</v>
      </c>
      <c r="I458" s="99">
        <f t="shared" si="32"/>
        <v>5966.5</v>
      </c>
      <c r="J458">
        <v>1467958.25</v>
      </c>
      <c r="N458" s="80"/>
      <c r="R458" s="80">
        <f t="shared" si="30"/>
        <v>5966.5</v>
      </c>
      <c r="S458">
        <f t="shared" ref="S458:S521" si="34">J458</f>
        <v>1467958.25</v>
      </c>
      <c r="T458" s="80">
        <f t="shared" si="29"/>
        <v>5966.5</v>
      </c>
    </row>
    <row r="459" spans="1:20" x14ac:dyDescent="0.25">
      <c r="A459" s="91">
        <v>5967</v>
      </c>
      <c r="B459" s="31">
        <f t="shared" si="31"/>
        <v>1439133</v>
      </c>
      <c r="C459" s="31">
        <v>1478833</v>
      </c>
      <c r="D459">
        <v>21798</v>
      </c>
      <c r="E459" s="97">
        <f>[4]EvapRates!$D$16*'FlamingGorge-Elevation-Area'!D459</f>
        <v>45775.799999999996</v>
      </c>
      <c r="F459" s="3">
        <v>455</v>
      </c>
      <c r="H459" s="98">
        <f t="shared" si="33"/>
        <v>1478833</v>
      </c>
      <c r="I459" s="99">
        <f t="shared" si="32"/>
        <v>5967</v>
      </c>
      <c r="J459">
        <v>1478833</v>
      </c>
      <c r="N459" s="80"/>
      <c r="R459" s="80">
        <f t="shared" si="30"/>
        <v>5967</v>
      </c>
      <c r="S459">
        <f t="shared" si="34"/>
        <v>1478833</v>
      </c>
      <c r="T459" s="80">
        <f t="shared" ref="T459:T522" si="35">T458+0.5</f>
        <v>5967</v>
      </c>
    </row>
    <row r="460" spans="1:20" x14ac:dyDescent="0.25">
      <c r="A460" s="91">
        <v>5967.5</v>
      </c>
      <c r="B460" s="31">
        <f t="shared" si="31"/>
        <v>1450056.25</v>
      </c>
      <c r="C460" s="31">
        <v>1489756.25</v>
      </c>
      <c r="D460">
        <v>21895</v>
      </c>
      <c r="E460" s="97">
        <f>[4]EvapRates!$D$16*'FlamingGorge-Elevation-Area'!D460</f>
        <v>45979.499999999993</v>
      </c>
      <c r="F460" s="3">
        <v>456</v>
      </c>
      <c r="H460" s="98">
        <f t="shared" si="33"/>
        <v>1489756.25</v>
      </c>
      <c r="I460" s="99">
        <f t="shared" si="32"/>
        <v>5967.5</v>
      </c>
      <c r="J460">
        <v>1489756.25</v>
      </c>
      <c r="N460" s="80"/>
      <c r="R460" s="80">
        <f t="shared" si="30"/>
        <v>5967.5</v>
      </c>
      <c r="S460">
        <f t="shared" si="34"/>
        <v>1489756.25</v>
      </c>
      <c r="T460" s="80">
        <f t="shared" si="35"/>
        <v>5967.5</v>
      </c>
    </row>
    <row r="461" spans="1:20" x14ac:dyDescent="0.25">
      <c r="A461" s="91">
        <v>5968</v>
      </c>
      <c r="B461" s="31">
        <f t="shared" si="31"/>
        <v>1461028</v>
      </c>
      <c r="C461" s="31">
        <v>1500728</v>
      </c>
      <c r="D461">
        <v>21992</v>
      </c>
      <c r="E461" s="97">
        <f>[4]EvapRates!$D$16*'FlamingGorge-Elevation-Area'!D461</f>
        <v>46183.19999999999</v>
      </c>
      <c r="F461" s="3">
        <v>457</v>
      </c>
      <c r="H461" s="98">
        <f t="shared" si="33"/>
        <v>1500728</v>
      </c>
      <c r="I461" s="99">
        <f t="shared" si="32"/>
        <v>5968</v>
      </c>
      <c r="J461">
        <v>1500728</v>
      </c>
      <c r="N461" s="80"/>
      <c r="R461" s="80">
        <f t="shared" si="30"/>
        <v>5968</v>
      </c>
      <c r="S461">
        <f t="shared" si="34"/>
        <v>1500728</v>
      </c>
      <c r="T461" s="80">
        <f t="shared" si="35"/>
        <v>5968</v>
      </c>
    </row>
    <row r="462" spans="1:20" x14ac:dyDescent="0.25">
      <c r="A462" s="91">
        <v>5968.5</v>
      </c>
      <c r="B462" s="31">
        <f t="shared" si="31"/>
        <v>1472048.25</v>
      </c>
      <c r="C462" s="31">
        <v>1511748.25</v>
      </c>
      <c r="D462">
        <v>22089</v>
      </c>
      <c r="E462" s="97">
        <f>[4]EvapRates!$D$16*'FlamingGorge-Elevation-Area'!D462</f>
        <v>46386.899999999994</v>
      </c>
      <c r="F462" s="3">
        <v>458</v>
      </c>
      <c r="H462" s="98">
        <f t="shared" si="33"/>
        <v>1511748.25</v>
      </c>
      <c r="I462" s="99">
        <f t="shared" si="32"/>
        <v>5968.5</v>
      </c>
      <c r="J462">
        <v>1511748.25</v>
      </c>
      <c r="N462" s="80"/>
      <c r="R462" s="80">
        <f t="shared" si="30"/>
        <v>5968.5</v>
      </c>
      <c r="S462">
        <f t="shared" si="34"/>
        <v>1511748.25</v>
      </c>
      <c r="T462" s="80">
        <f t="shared" si="35"/>
        <v>5968.5</v>
      </c>
    </row>
    <row r="463" spans="1:20" x14ac:dyDescent="0.25">
      <c r="A463" s="91">
        <v>5969</v>
      </c>
      <c r="B463" s="31">
        <f t="shared" si="31"/>
        <v>1483117</v>
      </c>
      <c r="C463" s="31">
        <v>1522817</v>
      </c>
      <c r="D463">
        <v>22186</v>
      </c>
      <c r="E463" s="97">
        <f>[4]EvapRates!$D$16*'FlamingGorge-Elevation-Area'!D463</f>
        <v>46590.599999999991</v>
      </c>
      <c r="F463" s="3">
        <v>459</v>
      </c>
      <c r="H463" s="98">
        <f t="shared" si="33"/>
        <v>1522817</v>
      </c>
      <c r="I463" s="99">
        <f t="shared" si="32"/>
        <v>5969</v>
      </c>
      <c r="J463">
        <v>1522817</v>
      </c>
      <c r="N463" s="80"/>
      <c r="R463" s="80">
        <f t="shared" ref="R463:R499" si="36">R462+0.5</f>
        <v>5969</v>
      </c>
      <c r="S463">
        <f t="shared" si="34"/>
        <v>1522817</v>
      </c>
      <c r="T463" s="80">
        <f t="shared" si="35"/>
        <v>5969</v>
      </c>
    </row>
    <row r="464" spans="1:20" x14ac:dyDescent="0.25">
      <c r="A464" s="91">
        <v>5969.5</v>
      </c>
      <c r="B464" s="31">
        <f t="shared" si="31"/>
        <v>1494234.25</v>
      </c>
      <c r="C464" s="31">
        <v>1533934.25</v>
      </c>
      <c r="D464">
        <v>22283</v>
      </c>
      <c r="E464" s="97">
        <f>[4]EvapRates!$D$16*'FlamingGorge-Elevation-Area'!D464</f>
        <v>46794.299999999996</v>
      </c>
      <c r="F464" s="3">
        <v>460</v>
      </c>
      <c r="H464" s="98">
        <f t="shared" si="33"/>
        <v>1533934.25</v>
      </c>
      <c r="I464" s="99">
        <f t="shared" si="32"/>
        <v>5969.5</v>
      </c>
      <c r="J464">
        <v>1533934.25</v>
      </c>
      <c r="N464" s="80"/>
      <c r="R464" s="80">
        <f t="shared" si="36"/>
        <v>5969.5</v>
      </c>
      <c r="S464">
        <f t="shared" si="34"/>
        <v>1533934.25</v>
      </c>
      <c r="T464" s="80">
        <f t="shared" si="35"/>
        <v>5969.5</v>
      </c>
    </row>
    <row r="465" spans="1:20" x14ac:dyDescent="0.25">
      <c r="A465" s="91">
        <v>5970</v>
      </c>
      <c r="B465" s="31">
        <f t="shared" si="31"/>
        <v>1505400</v>
      </c>
      <c r="C465" s="31">
        <v>1545100</v>
      </c>
      <c r="D465">
        <v>22380</v>
      </c>
      <c r="E465" s="97">
        <f>[4]EvapRates!$D$16*'FlamingGorge-Elevation-Area'!D465</f>
        <v>46997.999999999993</v>
      </c>
      <c r="F465" s="3">
        <v>461</v>
      </c>
      <c r="H465" s="98">
        <f t="shared" si="33"/>
        <v>1545100</v>
      </c>
      <c r="I465" s="99">
        <f t="shared" si="32"/>
        <v>5970</v>
      </c>
      <c r="J465">
        <v>1545100</v>
      </c>
      <c r="N465" s="80"/>
      <c r="R465" s="80">
        <f t="shared" si="36"/>
        <v>5970</v>
      </c>
      <c r="S465">
        <f t="shared" si="34"/>
        <v>1545100</v>
      </c>
      <c r="T465" s="80">
        <f t="shared" si="35"/>
        <v>5970</v>
      </c>
    </row>
    <row r="466" spans="1:20" x14ac:dyDescent="0.25">
      <c r="A466" s="91">
        <v>5970.5</v>
      </c>
      <c r="B466" s="31">
        <f t="shared" si="31"/>
        <v>1516623.13</v>
      </c>
      <c r="C466" s="31">
        <v>1556323.13</v>
      </c>
      <c r="D466">
        <v>22512.5</v>
      </c>
      <c r="E466" s="97">
        <f>[4]EvapRates!$D$16*'FlamingGorge-Elevation-Area'!D466</f>
        <v>47276.249999999993</v>
      </c>
      <c r="F466" s="3">
        <v>462</v>
      </c>
      <c r="H466" s="98">
        <f t="shared" si="33"/>
        <v>1556323.13</v>
      </c>
      <c r="I466" s="99">
        <f t="shared" si="32"/>
        <v>5970.5</v>
      </c>
      <c r="J466">
        <v>1556323.13</v>
      </c>
      <c r="N466" s="80"/>
      <c r="R466" s="80">
        <f t="shared" si="36"/>
        <v>5970.5</v>
      </c>
      <c r="S466">
        <f t="shared" si="34"/>
        <v>1556323.13</v>
      </c>
      <c r="T466" s="80">
        <f t="shared" si="35"/>
        <v>5970.5</v>
      </c>
    </row>
    <row r="467" spans="1:20" x14ac:dyDescent="0.25">
      <c r="A467" s="91">
        <v>5971</v>
      </c>
      <c r="B467" s="31">
        <f t="shared" si="31"/>
        <v>1527912.5</v>
      </c>
      <c r="C467" s="31">
        <v>1567612.5</v>
      </c>
      <c r="D467">
        <v>22645</v>
      </c>
      <c r="E467" s="97">
        <f>[4]EvapRates!$D$16*'FlamingGorge-Elevation-Area'!D467</f>
        <v>47554.499999999993</v>
      </c>
      <c r="F467" s="3">
        <v>463</v>
      </c>
      <c r="H467" s="98">
        <f t="shared" si="33"/>
        <v>1567612.5</v>
      </c>
      <c r="I467" s="99">
        <f t="shared" si="32"/>
        <v>5971</v>
      </c>
      <c r="J467">
        <v>1567612.5</v>
      </c>
      <c r="N467" s="80"/>
      <c r="R467" s="80">
        <f t="shared" si="36"/>
        <v>5971</v>
      </c>
      <c r="S467">
        <f t="shared" si="34"/>
        <v>1567612.5</v>
      </c>
      <c r="T467" s="80">
        <f t="shared" si="35"/>
        <v>5971</v>
      </c>
    </row>
    <row r="468" spans="1:20" x14ac:dyDescent="0.25">
      <c r="A468" s="91">
        <v>5971.5</v>
      </c>
      <c r="B468" s="31">
        <f t="shared" si="31"/>
        <v>1539268.13</v>
      </c>
      <c r="C468" s="31">
        <v>1578968.13</v>
      </c>
      <c r="D468">
        <v>22777.5</v>
      </c>
      <c r="E468" s="97">
        <f>[4]EvapRates!$D$16*'FlamingGorge-Elevation-Area'!D468</f>
        <v>47832.749999999993</v>
      </c>
      <c r="F468" s="3">
        <v>464</v>
      </c>
      <c r="H468" s="98">
        <f t="shared" si="33"/>
        <v>1578968.13</v>
      </c>
      <c r="I468" s="99">
        <f t="shared" si="32"/>
        <v>5971.5</v>
      </c>
      <c r="J468">
        <v>1578968.13</v>
      </c>
      <c r="N468" s="80"/>
      <c r="R468" s="80">
        <f t="shared" si="36"/>
        <v>5971.5</v>
      </c>
      <c r="S468">
        <f t="shared" si="34"/>
        <v>1578968.13</v>
      </c>
      <c r="T468" s="80">
        <f t="shared" si="35"/>
        <v>5971.5</v>
      </c>
    </row>
    <row r="469" spans="1:20" x14ac:dyDescent="0.25">
      <c r="A469" s="91">
        <v>5972</v>
      </c>
      <c r="B469" s="31">
        <f t="shared" si="31"/>
        <v>1550690</v>
      </c>
      <c r="C469" s="31">
        <v>1590390</v>
      </c>
      <c r="D469">
        <v>22910</v>
      </c>
      <c r="E469" s="97">
        <f>[4]EvapRates!$D$16*'FlamingGorge-Elevation-Area'!D469</f>
        <v>48110.999999999993</v>
      </c>
      <c r="F469" s="3">
        <v>465</v>
      </c>
      <c r="H469" s="98">
        <f t="shared" si="33"/>
        <v>1590390</v>
      </c>
      <c r="I469" s="99">
        <f t="shared" si="32"/>
        <v>5972</v>
      </c>
      <c r="J469">
        <v>1590390</v>
      </c>
      <c r="N469" s="80"/>
      <c r="R469" s="80">
        <f t="shared" si="36"/>
        <v>5972</v>
      </c>
      <c r="S469">
        <f t="shared" si="34"/>
        <v>1590390</v>
      </c>
      <c r="T469" s="80">
        <f t="shared" si="35"/>
        <v>5972</v>
      </c>
    </row>
    <row r="470" spans="1:20" x14ac:dyDescent="0.25">
      <c r="A470" s="91">
        <v>5972.5</v>
      </c>
      <c r="B470" s="31">
        <f t="shared" si="31"/>
        <v>1562178.13</v>
      </c>
      <c r="C470" s="31">
        <v>1601878.13</v>
      </c>
      <c r="D470">
        <v>23042.5</v>
      </c>
      <c r="E470" s="97">
        <f>[4]EvapRates!$D$16*'FlamingGorge-Elevation-Area'!D470</f>
        <v>48389.249999999993</v>
      </c>
      <c r="F470" s="3">
        <v>466</v>
      </c>
      <c r="H470" s="98">
        <f t="shared" si="33"/>
        <v>1601878.13</v>
      </c>
      <c r="I470" s="99">
        <f t="shared" si="32"/>
        <v>5972.5</v>
      </c>
      <c r="J470">
        <v>1601878.13</v>
      </c>
      <c r="N470" s="80"/>
      <c r="R470" s="80">
        <f t="shared" si="36"/>
        <v>5972.5</v>
      </c>
      <c r="S470">
        <f t="shared" si="34"/>
        <v>1601878.13</v>
      </c>
      <c r="T470" s="80">
        <f t="shared" si="35"/>
        <v>5972.5</v>
      </c>
    </row>
    <row r="471" spans="1:20" x14ac:dyDescent="0.25">
      <c r="A471" s="91">
        <v>5973</v>
      </c>
      <c r="B471" s="31">
        <f t="shared" si="31"/>
        <v>1573732.5</v>
      </c>
      <c r="C471" s="31">
        <v>1613432.5</v>
      </c>
      <c r="D471">
        <v>23175</v>
      </c>
      <c r="E471" s="97">
        <f>[4]EvapRates!$D$16*'FlamingGorge-Elevation-Area'!D471</f>
        <v>48667.499999999993</v>
      </c>
      <c r="F471" s="3">
        <v>467</v>
      </c>
      <c r="H471" s="98">
        <f t="shared" si="33"/>
        <v>1613432.5</v>
      </c>
      <c r="I471" s="99">
        <f t="shared" si="32"/>
        <v>5973</v>
      </c>
      <c r="J471">
        <v>1613432.5</v>
      </c>
      <c r="N471" s="80"/>
      <c r="R471" s="80">
        <f t="shared" si="36"/>
        <v>5973</v>
      </c>
      <c r="S471">
        <f t="shared" si="34"/>
        <v>1613432.5</v>
      </c>
      <c r="T471" s="80">
        <f t="shared" si="35"/>
        <v>5973</v>
      </c>
    </row>
    <row r="472" spans="1:20" x14ac:dyDescent="0.25">
      <c r="A472" s="91">
        <v>5973.5</v>
      </c>
      <c r="B472" s="31">
        <f t="shared" si="31"/>
        <v>1585353.13</v>
      </c>
      <c r="C472" s="31">
        <v>1625053.13</v>
      </c>
      <c r="D472">
        <v>23307.5</v>
      </c>
      <c r="E472" s="97">
        <f>[4]EvapRates!$D$16*'FlamingGorge-Elevation-Area'!D472</f>
        <v>48945.749999999993</v>
      </c>
      <c r="F472" s="3">
        <v>468</v>
      </c>
      <c r="H472" s="98">
        <f t="shared" si="33"/>
        <v>1625053.13</v>
      </c>
      <c r="I472" s="99">
        <f t="shared" si="32"/>
        <v>5973.5</v>
      </c>
      <c r="J472">
        <v>1625053.13</v>
      </c>
      <c r="N472" s="80"/>
      <c r="R472" s="80">
        <f t="shared" si="36"/>
        <v>5973.5</v>
      </c>
      <c r="S472">
        <f t="shared" si="34"/>
        <v>1625053.13</v>
      </c>
      <c r="T472" s="80">
        <f t="shared" si="35"/>
        <v>5973.5</v>
      </c>
    </row>
    <row r="473" spans="1:20" x14ac:dyDescent="0.25">
      <c r="A473" s="91">
        <v>5974</v>
      </c>
      <c r="B473" s="31">
        <f t="shared" si="31"/>
        <v>1597040</v>
      </c>
      <c r="C473" s="31">
        <v>1636740</v>
      </c>
      <c r="D473">
        <v>23440</v>
      </c>
      <c r="E473" s="97">
        <f>[4]EvapRates!$D$16*'FlamingGorge-Elevation-Area'!D473</f>
        <v>49223.999999999993</v>
      </c>
      <c r="F473" s="3">
        <v>469</v>
      </c>
      <c r="H473" s="98">
        <f t="shared" si="33"/>
        <v>1636740</v>
      </c>
      <c r="I473" s="99">
        <f t="shared" si="32"/>
        <v>5974</v>
      </c>
      <c r="J473">
        <v>1636740</v>
      </c>
      <c r="N473" s="80"/>
      <c r="R473" s="80">
        <f t="shared" si="36"/>
        <v>5974</v>
      </c>
      <c r="S473">
        <f t="shared" si="34"/>
        <v>1636740</v>
      </c>
      <c r="T473" s="80">
        <f t="shared" si="35"/>
        <v>5974</v>
      </c>
    </row>
    <row r="474" spans="1:20" x14ac:dyDescent="0.25">
      <c r="A474" s="91">
        <v>5974.5</v>
      </c>
      <c r="B474" s="31">
        <f t="shared" si="31"/>
        <v>1608793.13</v>
      </c>
      <c r="C474" s="31">
        <v>1648493.13</v>
      </c>
      <c r="D474">
        <v>23572.5</v>
      </c>
      <c r="E474" s="97">
        <f>[4]EvapRates!$D$16*'FlamingGorge-Elevation-Area'!D474</f>
        <v>49502.249999999993</v>
      </c>
      <c r="F474" s="3">
        <v>470</v>
      </c>
      <c r="H474" s="98">
        <f t="shared" si="33"/>
        <v>1648493.13</v>
      </c>
      <c r="I474" s="99">
        <f t="shared" si="32"/>
        <v>5974.5</v>
      </c>
      <c r="J474">
        <v>1648493.13</v>
      </c>
      <c r="N474" s="80"/>
      <c r="R474" s="80">
        <f t="shared" si="36"/>
        <v>5974.5</v>
      </c>
      <c r="S474">
        <f t="shared" si="34"/>
        <v>1648493.13</v>
      </c>
      <c r="T474" s="80">
        <f t="shared" si="35"/>
        <v>5974.5</v>
      </c>
    </row>
    <row r="475" spans="1:20" x14ac:dyDescent="0.25">
      <c r="A475" s="91">
        <v>5975</v>
      </c>
      <c r="B475" s="31">
        <f t="shared" si="31"/>
        <v>1620612.5</v>
      </c>
      <c r="C475" s="31">
        <v>1660312.5</v>
      </c>
      <c r="D475">
        <v>23705</v>
      </c>
      <c r="E475" s="97">
        <f>[4]EvapRates!$D$16*'FlamingGorge-Elevation-Area'!D475</f>
        <v>49780.499999999993</v>
      </c>
      <c r="F475" s="3">
        <v>471</v>
      </c>
      <c r="H475" s="98">
        <f t="shared" si="33"/>
        <v>1660312.5</v>
      </c>
      <c r="I475" s="99">
        <f t="shared" si="32"/>
        <v>5975</v>
      </c>
      <c r="J475">
        <v>1660312.5</v>
      </c>
      <c r="N475" s="80"/>
      <c r="R475" s="80">
        <f t="shared" si="36"/>
        <v>5975</v>
      </c>
      <c r="S475">
        <f t="shared" si="34"/>
        <v>1660312.5</v>
      </c>
      <c r="T475" s="80">
        <f t="shared" si="35"/>
        <v>5975</v>
      </c>
    </row>
    <row r="476" spans="1:20" x14ac:dyDescent="0.25">
      <c r="A476" s="91">
        <v>5975.5</v>
      </c>
      <c r="B476" s="31">
        <f t="shared" si="31"/>
        <v>1632498.13</v>
      </c>
      <c r="C476" s="31">
        <v>1672198.13</v>
      </c>
      <c r="D476">
        <v>23837.5</v>
      </c>
      <c r="E476" s="97">
        <f>[4]EvapRates!$D$16*'FlamingGorge-Elevation-Area'!D476</f>
        <v>50058.749999999993</v>
      </c>
      <c r="F476" s="3">
        <v>472</v>
      </c>
      <c r="H476" s="98">
        <f t="shared" si="33"/>
        <v>1672198.13</v>
      </c>
      <c r="I476" s="99">
        <f t="shared" si="32"/>
        <v>5975.5</v>
      </c>
      <c r="J476">
        <v>1672198.13</v>
      </c>
      <c r="N476" s="80"/>
      <c r="R476" s="80">
        <f t="shared" si="36"/>
        <v>5975.5</v>
      </c>
      <c r="S476">
        <f t="shared" si="34"/>
        <v>1672198.13</v>
      </c>
      <c r="T476" s="80">
        <f t="shared" si="35"/>
        <v>5975.5</v>
      </c>
    </row>
    <row r="477" spans="1:20" x14ac:dyDescent="0.25">
      <c r="A477" s="91">
        <v>5976</v>
      </c>
      <c r="B477" s="31">
        <f t="shared" si="31"/>
        <v>1644450</v>
      </c>
      <c r="C477" s="31">
        <v>1684150</v>
      </c>
      <c r="D477">
        <v>23970</v>
      </c>
      <c r="E477" s="97">
        <f>[4]EvapRates!$D$16*'FlamingGorge-Elevation-Area'!D477</f>
        <v>50336.999999999993</v>
      </c>
      <c r="F477" s="3">
        <v>473</v>
      </c>
      <c r="H477" s="98">
        <f t="shared" si="33"/>
        <v>1684150</v>
      </c>
      <c r="I477" s="99">
        <f t="shared" si="32"/>
        <v>5976</v>
      </c>
      <c r="J477">
        <v>1684150</v>
      </c>
      <c r="N477" s="80"/>
      <c r="R477" s="80">
        <f t="shared" si="36"/>
        <v>5976</v>
      </c>
      <c r="S477">
        <f t="shared" si="34"/>
        <v>1684150</v>
      </c>
      <c r="T477" s="80">
        <f t="shared" si="35"/>
        <v>5976</v>
      </c>
    </row>
    <row r="478" spans="1:20" x14ac:dyDescent="0.25">
      <c r="A478" s="91">
        <v>5976.5</v>
      </c>
      <c r="B478" s="31">
        <f t="shared" si="31"/>
        <v>1656468.13</v>
      </c>
      <c r="C478" s="31">
        <v>1696168.13</v>
      </c>
      <c r="D478">
        <v>24102.5</v>
      </c>
      <c r="E478" s="97">
        <f>[4]EvapRates!$D$16*'FlamingGorge-Elevation-Area'!D478</f>
        <v>50615.249999999993</v>
      </c>
      <c r="F478" s="3">
        <v>474</v>
      </c>
      <c r="H478" s="98">
        <f t="shared" si="33"/>
        <v>1696168.13</v>
      </c>
      <c r="I478" s="99">
        <f t="shared" si="32"/>
        <v>5976.5</v>
      </c>
      <c r="J478">
        <v>1696168.13</v>
      </c>
      <c r="N478" s="80"/>
      <c r="R478" s="80">
        <f t="shared" si="36"/>
        <v>5976.5</v>
      </c>
      <c r="S478">
        <f t="shared" si="34"/>
        <v>1696168.13</v>
      </c>
      <c r="T478" s="80">
        <f t="shared" si="35"/>
        <v>5976.5</v>
      </c>
    </row>
    <row r="479" spans="1:20" x14ac:dyDescent="0.25">
      <c r="A479" s="91">
        <v>5977</v>
      </c>
      <c r="B479" s="31">
        <f t="shared" ref="B479:B542" si="37">C479-39700</f>
        <v>1668552.5</v>
      </c>
      <c r="C479" s="31">
        <v>1708252.5</v>
      </c>
      <c r="D479">
        <v>24235</v>
      </c>
      <c r="E479" s="97">
        <f>[4]EvapRates!$D$16*'FlamingGorge-Elevation-Area'!D479</f>
        <v>50893.499999999993</v>
      </c>
      <c r="F479" s="3">
        <v>475</v>
      </c>
      <c r="H479" s="98">
        <f t="shared" si="33"/>
        <v>1708252.5</v>
      </c>
      <c r="I479" s="99">
        <f t="shared" si="32"/>
        <v>5977</v>
      </c>
      <c r="J479">
        <v>1708252.5</v>
      </c>
      <c r="N479" s="80"/>
      <c r="R479" s="80">
        <f t="shared" si="36"/>
        <v>5977</v>
      </c>
      <c r="S479">
        <f t="shared" si="34"/>
        <v>1708252.5</v>
      </c>
      <c r="T479" s="80">
        <f t="shared" si="35"/>
        <v>5977</v>
      </c>
    </row>
    <row r="480" spans="1:20" x14ac:dyDescent="0.25">
      <c r="A480" s="91">
        <v>5977.5</v>
      </c>
      <c r="B480" s="31">
        <f t="shared" si="37"/>
        <v>1680703.13</v>
      </c>
      <c r="C480" s="31">
        <v>1720403.13</v>
      </c>
      <c r="D480">
        <v>24367.5</v>
      </c>
      <c r="E480" s="97">
        <f>[4]EvapRates!$D$16*'FlamingGorge-Elevation-Area'!D480</f>
        <v>51171.749999999993</v>
      </c>
      <c r="F480" s="3">
        <v>476</v>
      </c>
      <c r="H480" s="98">
        <f t="shared" si="33"/>
        <v>1720403.13</v>
      </c>
      <c r="I480" s="99">
        <f t="shared" si="32"/>
        <v>5977.5</v>
      </c>
      <c r="J480">
        <v>1720403.13</v>
      </c>
      <c r="N480" s="80"/>
      <c r="R480" s="80">
        <f t="shared" si="36"/>
        <v>5977.5</v>
      </c>
      <c r="S480">
        <f t="shared" si="34"/>
        <v>1720403.13</v>
      </c>
      <c r="T480" s="80">
        <f t="shared" si="35"/>
        <v>5977.5</v>
      </c>
    </row>
    <row r="481" spans="1:20" x14ac:dyDescent="0.25">
      <c r="A481" s="91">
        <v>5978</v>
      </c>
      <c r="B481" s="31">
        <f t="shared" si="37"/>
        <v>1692920</v>
      </c>
      <c r="C481" s="31">
        <v>1732620</v>
      </c>
      <c r="D481">
        <v>24500</v>
      </c>
      <c r="E481" s="97">
        <f>[4]EvapRates!$D$16*'FlamingGorge-Elevation-Area'!D481</f>
        <v>51449.999999999993</v>
      </c>
      <c r="F481" s="3">
        <v>477</v>
      </c>
      <c r="H481" s="98">
        <f t="shared" si="33"/>
        <v>1732620</v>
      </c>
      <c r="I481" s="99">
        <f t="shared" si="32"/>
        <v>5978</v>
      </c>
      <c r="J481">
        <v>1732620</v>
      </c>
      <c r="N481" s="80"/>
      <c r="R481" s="80">
        <f t="shared" si="36"/>
        <v>5978</v>
      </c>
      <c r="S481">
        <f t="shared" si="34"/>
        <v>1732620</v>
      </c>
      <c r="T481" s="80">
        <f t="shared" si="35"/>
        <v>5978</v>
      </c>
    </row>
    <row r="482" spans="1:20" x14ac:dyDescent="0.25">
      <c r="A482" s="91">
        <v>5978.5</v>
      </c>
      <c r="B482" s="31">
        <f t="shared" si="37"/>
        <v>1705203.13</v>
      </c>
      <c r="C482" s="31">
        <v>1744903.13</v>
      </c>
      <c r="D482">
        <v>24632.5</v>
      </c>
      <c r="E482" s="97">
        <f>[4]EvapRates!$D$16*'FlamingGorge-Elevation-Area'!D482</f>
        <v>51728.249999999993</v>
      </c>
      <c r="F482" s="3">
        <v>478</v>
      </c>
      <c r="H482" s="98">
        <f t="shared" si="33"/>
        <v>1744903.13</v>
      </c>
      <c r="I482" s="99">
        <f t="shared" si="32"/>
        <v>5978.5</v>
      </c>
      <c r="J482">
        <v>1744903.13</v>
      </c>
      <c r="N482" s="80"/>
      <c r="R482" s="80">
        <f t="shared" si="36"/>
        <v>5978.5</v>
      </c>
      <c r="S482">
        <f t="shared" si="34"/>
        <v>1744903.13</v>
      </c>
      <c r="T482" s="80">
        <f t="shared" si="35"/>
        <v>5978.5</v>
      </c>
    </row>
    <row r="483" spans="1:20" x14ac:dyDescent="0.25">
      <c r="A483" s="91">
        <v>5979</v>
      </c>
      <c r="B483" s="31">
        <f t="shared" si="37"/>
        <v>1717552.5</v>
      </c>
      <c r="C483" s="31">
        <v>1757252.5</v>
      </c>
      <c r="D483">
        <v>24765</v>
      </c>
      <c r="E483" s="97">
        <f>[4]EvapRates!$D$16*'FlamingGorge-Elevation-Area'!D483</f>
        <v>52006.499999999993</v>
      </c>
      <c r="F483" s="3">
        <v>479</v>
      </c>
      <c r="H483" s="98">
        <f t="shared" si="33"/>
        <v>1757252.5</v>
      </c>
      <c r="I483" s="99">
        <f t="shared" si="32"/>
        <v>5979</v>
      </c>
      <c r="J483">
        <v>1757252.5</v>
      </c>
      <c r="N483" s="80"/>
      <c r="R483" s="80">
        <f t="shared" si="36"/>
        <v>5979</v>
      </c>
      <c r="S483">
        <f t="shared" si="34"/>
        <v>1757252.5</v>
      </c>
      <c r="T483" s="80">
        <f t="shared" si="35"/>
        <v>5979</v>
      </c>
    </row>
    <row r="484" spans="1:20" x14ac:dyDescent="0.25">
      <c r="A484" s="91">
        <v>5979.5</v>
      </c>
      <c r="B484" s="31">
        <f t="shared" si="37"/>
        <v>1729968.13</v>
      </c>
      <c r="C484" s="31">
        <v>1769668.13</v>
      </c>
      <c r="D484">
        <v>24897.5</v>
      </c>
      <c r="E484" s="97">
        <f>[4]EvapRates!$D$16*'FlamingGorge-Elevation-Area'!D484</f>
        <v>52284.749999999993</v>
      </c>
      <c r="F484" s="3">
        <v>480</v>
      </c>
      <c r="H484" s="98">
        <f t="shared" si="33"/>
        <v>1769668.13</v>
      </c>
      <c r="I484" s="99">
        <f t="shared" si="32"/>
        <v>5979.5</v>
      </c>
      <c r="J484">
        <v>1769668.13</v>
      </c>
      <c r="N484" s="80"/>
      <c r="R484" s="80">
        <f t="shared" si="36"/>
        <v>5979.5</v>
      </c>
      <c r="S484">
        <f t="shared" si="34"/>
        <v>1769668.13</v>
      </c>
      <c r="T484" s="80">
        <f t="shared" si="35"/>
        <v>5979.5</v>
      </c>
    </row>
    <row r="485" spans="1:20" x14ac:dyDescent="0.25">
      <c r="A485" s="91">
        <v>5980</v>
      </c>
      <c r="B485" s="31">
        <f t="shared" si="37"/>
        <v>1742450</v>
      </c>
      <c r="C485" s="31">
        <v>1782150</v>
      </c>
      <c r="D485">
        <v>25030</v>
      </c>
      <c r="E485" s="97">
        <f>[4]EvapRates!$D$16*'FlamingGorge-Elevation-Area'!D485</f>
        <v>52562.999999999993</v>
      </c>
      <c r="F485" s="3">
        <v>481</v>
      </c>
      <c r="H485" s="98">
        <f t="shared" si="33"/>
        <v>1782150</v>
      </c>
      <c r="I485" s="99">
        <f t="shared" si="32"/>
        <v>5980</v>
      </c>
      <c r="J485">
        <v>1782150</v>
      </c>
      <c r="N485" s="80"/>
      <c r="R485" s="80">
        <f t="shared" si="36"/>
        <v>5980</v>
      </c>
      <c r="S485">
        <f t="shared" si="34"/>
        <v>1782150</v>
      </c>
      <c r="T485" s="80">
        <f t="shared" si="35"/>
        <v>5980</v>
      </c>
    </row>
    <row r="486" spans="1:20" x14ac:dyDescent="0.25">
      <c r="A486" s="91">
        <v>5980.5</v>
      </c>
      <c r="B486" s="31">
        <f t="shared" si="37"/>
        <v>1754993.25</v>
      </c>
      <c r="C486" s="31">
        <v>1794693.25</v>
      </c>
      <c r="D486">
        <v>25143</v>
      </c>
      <c r="E486" s="97">
        <f>[4]EvapRates!$D$16*'FlamingGorge-Elevation-Area'!D486</f>
        <v>52800.299999999988</v>
      </c>
      <c r="F486" s="3">
        <v>482</v>
      </c>
      <c r="H486" s="98">
        <f t="shared" si="33"/>
        <v>1794693.25</v>
      </c>
      <c r="I486" s="99">
        <f t="shared" si="32"/>
        <v>5980.5</v>
      </c>
      <c r="J486">
        <v>1794693.25</v>
      </c>
      <c r="N486" s="80"/>
      <c r="R486" s="80">
        <f t="shared" si="36"/>
        <v>5980.5</v>
      </c>
      <c r="S486">
        <f t="shared" si="34"/>
        <v>1794693.25</v>
      </c>
      <c r="T486" s="80">
        <f t="shared" si="35"/>
        <v>5980.5</v>
      </c>
    </row>
    <row r="487" spans="1:20" x14ac:dyDescent="0.25">
      <c r="A487" s="91">
        <v>5981</v>
      </c>
      <c r="B487" s="31">
        <f t="shared" si="37"/>
        <v>1767593</v>
      </c>
      <c r="C487" s="31">
        <v>1807293</v>
      </c>
      <c r="D487">
        <v>25256</v>
      </c>
      <c r="E487" s="97">
        <f>[4]EvapRates!$D$16*'FlamingGorge-Elevation-Area'!D487</f>
        <v>53037.599999999991</v>
      </c>
      <c r="F487" s="3">
        <v>483</v>
      </c>
      <c r="H487" s="98">
        <f t="shared" si="33"/>
        <v>1807293</v>
      </c>
      <c r="I487" s="99">
        <f t="shared" si="32"/>
        <v>5981</v>
      </c>
      <c r="J487">
        <v>1807293</v>
      </c>
      <c r="N487" s="80"/>
      <c r="R487" s="80">
        <f t="shared" si="36"/>
        <v>5981</v>
      </c>
      <c r="S487">
        <f t="shared" si="34"/>
        <v>1807293</v>
      </c>
      <c r="T487" s="80">
        <f t="shared" si="35"/>
        <v>5981</v>
      </c>
    </row>
    <row r="488" spans="1:20" x14ac:dyDescent="0.25">
      <c r="A488" s="91">
        <v>5981.5</v>
      </c>
      <c r="B488" s="31">
        <f t="shared" si="37"/>
        <v>1780249.25</v>
      </c>
      <c r="C488" s="31">
        <v>1819949.25</v>
      </c>
      <c r="D488">
        <v>25369</v>
      </c>
      <c r="E488" s="97">
        <f>[4]EvapRates!$D$16*'FlamingGorge-Elevation-Area'!D488</f>
        <v>53274.899999999994</v>
      </c>
      <c r="F488" s="3">
        <v>484</v>
      </c>
      <c r="H488" s="98">
        <f t="shared" si="33"/>
        <v>1819949.25</v>
      </c>
      <c r="I488" s="99">
        <f t="shared" si="32"/>
        <v>5981.5</v>
      </c>
      <c r="J488">
        <v>1819949.25</v>
      </c>
      <c r="N488" s="80"/>
      <c r="R488" s="80">
        <f t="shared" si="36"/>
        <v>5981.5</v>
      </c>
      <c r="S488">
        <f t="shared" si="34"/>
        <v>1819949.25</v>
      </c>
      <c r="T488" s="80">
        <f t="shared" si="35"/>
        <v>5981.5</v>
      </c>
    </row>
    <row r="489" spans="1:20" x14ac:dyDescent="0.25">
      <c r="A489" s="91">
        <v>5982</v>
      </c>
      <c r="B489" s="31">
        <f t="shared" si="37"/>
        <v>1792962</v>
      </c>
      <c r="C489" s="31">
        <v>1832662</v>
      </c>
      <c r="D489">
        <v>25482</v>
      </c>
      <c r="E489" s="97">
        <f>[4]EvapRates!$D$16*'FlamingGorge-Elevation-Area'!D489</f>
        <v>53512.19999999999</v>
      </c>
      <c r="F489" s="3">
        <v>485</v>
      </c>
      <c r="H489" s="98">
        <f t="shared" si="33"/>
        <v>1832662</v>
      </c>
      <c r="I489" s="99">
        <f t="shared" si="32"/>
        <v>5982</v>
      </c>
      <c r="J489">
        <v>1832662</v>
      </c>
      <c r="N489" s="80"/>
      <c r="R489" s="80">
        <f t="shared" si="36"/>
        <v>5982</v>
      </c>
      <c r="S489">
        <f t="shared" si="34"/>
        <v>1832662</v>
      </c>
      <c r="T489" s="80">
        <f t="shared" si="35"/>
        <v>5982</v>
      </c>
    </row>
    <row r="490" spans="1:20" x14ac:dyDescent="0.25">
      <c r="A490" s="91">
        <v>5982.5</v>
      </c>
      <c r="B490" s="31">
        <f t="shared" si="37"/>
        <v>1805731.25</v>
      </c>
      <c r="C490" s="31">
        <v>1845431.25</v>
      </c>
      <c r="D490">
        <v>25595</v>
      </c>
      <c r="E490" s="97">
        <f>[4]EvapRates!$D$16*'FlamingGorge-Elevation-Area'!D490</f>
        <v>53749.499999999993</v>
      </c>
      <c r="F490" s="3">
        <v>486</v>
      </c>
      <c r="H490" s="98">
        <f t="shared" si="33"/>
        <v>1845431.25</v>
      </c>
      <c r="I490" s="99">
        <f t="shared" si="32"/>
        <v>5982.5</v>
      </c>
      <c r="J490">
        <v>1845431.25</v>
      </c>
      <c r="N490" s="80"/>
      <c r="R490" s="80">
        <f t="shared" si="36"/>
        <v>5982.5</v>
      </c>
      <c r="S490">
        <f t="shared" si="34"/>
        <v>1845431.25</v>
      </c>
      <c r="T490" s="80">
        <f t="shared" si="35"/>
        <v>5982.5</v>
      </c>
    </row>
    <row r="491" spans="1:20" x14ac:dyDescent="0.25">
      <c r="A491" s="91">
        <v>5983</v>
      </c>
      <c r="B491" s="31">
        <f t="shared" si="37"/>
        <v>1818557</v>
      </c>
      <c r="C491" s="31">
        <v>1858257</v>
      </c>
      <c r="D491">
        <v>25708</v>
      </c>
      <c r="E491" s="97">
        <f>[4]EvapRates!$D$16*'FlamingGorge-Elevation-Area'!D491</f>
        <v>53986.799999999988</v>
      </c>
      <c r="F491" s="3">
        <v>487</v>
      </c>
      <c r="H491" s="98">
        <f t="shared" si="33"/>
        <v>1858257</v>
      </c>
      <c r="I491" s="99">
        <f t="shared" si="32"/>
        <v>5983</v>
      </c>
      <c r="J491">
        <v>1858257</v>
      </c>
      <c r="N491" s="80"/>
      <c r="R491" s="80">
        <f t="shared" si="36"/>
        <v>5983</v>
      </c>
      <c r="S491">
        <f t="shared" si="34"/>
        <v>1858257</v>
      </c>
      <c r="T491" s="80">
        <f t="shared" si="35"/>
        <v>5983</v>
      </c>
    </row>
    <row r="492" spans="1:20" x14ac:dyDescent="0.25">
      <c r="A492" s="91">
        <v>5983.5</v>
      </c>
      <c r="B492" s="31">
        <f t="shared" si="37"/>
        <v>1831439.25</v>
      </c>
      <c r="C492" s="31">
        <v>1871139.25</v>
      </c>
      <c r="D492">
        <v>25821</v>
      </c>
      <c r="E492" s="97">
        <f>[4]EvapRates!$D$16*'FlamingGorge-Elevation-Area'!D492</f>
        <v>54224.099999999991</v>
      </c>
      <c r="F492" s="3">
        <v>488</v>
      </c>
      <c r="H492" s="98">
        <f t="shared" si="33"/>
        <v>1871139.25</v>
      </c>
      <c r="I492" s="99">
        <f t="shared" si="32"/>
        <v>5983.5</v>
      </c>
      <c r="J492">
        <v>1871139.25</v>
      </c>
      <c r="N492" s="80"/>
      <c r="R492" s="80">
        <f t="shared" si="36"/>
        <v>5983.5</v>
      </c>
      <c r="S492">
        <f t="shared" si="34"/>
        <v>1871139.25</v>
      </c>
      <c r="T492" s="80">
        <f t="shared" si="35"/>
        <v>5983.5</v>
      </c>
    </row>
    <row r="493" spans="1:20" x14ac:dyDescent="0.25">
      <c r="A493" s="91">
        <v>5984</v>
      </c>
      <c r="B493" s="31">
        <f t="shared" si="37"/>
        <v>1844378</v>
      </c>
      <c r="C493" s="31">
        <v>1884078</v>
      </c>
      <c r="D493">
        <v>25934</v>
      </c>
      <c r="E493" s="97">
        <f>[4]EvapRates!$D$16*'FlamingGorge-Elevation-Area'!D493</f>
        <v>54461.399999999994</v>
      </c>
      <c r="F493" s="3">
        <v>489</v>
      </c>
      <c r="H493" s="98">
        <f t="shared" si="33"/>
        <v>1884078</v>
      </c>
      <c r="I493" s="99">
        <f t="shared" si="32"/>
        <v>5984</v>
      </c>
      <c r="J493">
        <v>1884078</v>
      </c>
      <c r="N493" s="80"/>
      <c r="R493" s="80">
        <f t="shared" si="36"/>
        <v>5984</v>
      </c>
      <c r="S493">
        <f t="shared" si="34"/>
        <v>1884078</v>
      </c>
      <c r="T493" s="80">
        <f t="shared" si="35"/>
        <v>5984</v>
      </c>
    </row>
    <row r="494" spans="1:20" x14ac:dyDescent="0.25">
      <c r="A494" s="91">
        <v>5984.5</v>
      </c>
      <c r="B494" s="31">
        <f t="shared" si="37"/>
        <v>1857373.25</v>
      </c>
      <c r="C494" s="31">
        <v>1897073.25</v>
      </c>
      <c r="D494">
        <v>26047</v>
      </c>
      <c r="E494" s="97">
        <f>[4]EvapRates!$D$16*'FlamingGorge-Elevation-Area'!D494</f>
        <v>54698.69999999999</v>
      </c>
      <c r="F494" s="3">
        <v>490</v>
      </c>
      <c r="H494" s="98">
        <f t="shared" si="33"/>
        <v>1897073.25</v>
      </c>
      <c r="I494" s="99">
        <f t="shared" si="32"/>
        <v>5984.5</v>
      </c>
      <c r="J494">
        <v>1897073.25</v>
      </c>
      <c r="N494" s="80"/>
      <c r="R494" s="80">
        <f t="shared" si="36"/>
        <v>5984.5</v>
      </c>
      <c r="S494">
        <f t="shared" si="34"/>
        <v>1897073.25</v>
      </c>
      <c r="T494" s="80">
        <f t="shared" si="35"/>
        <v>5984.5</v>
      </c>
    </row>
    <row r="495" spans="1:20" x14ac:dyDescent="0.25">
      <c r="A495" s="91">
        <v>5985</v>
      </c>
      <c r="B495" s="31">
        <f t="shared" si="37"/>
        <v>1870425</v>
      </c>
      <c r="C495" s="31">
        <v>1910125</v>
      </c>
      <c r="D495">
        <v>26160</v>
      </c>
      <c r="E495" s="97">
        <f>[4]EvapRates!$D$16*'FlamingGorge-Elevation-Area'!D495</f>
        <v>54935.999999999993</v>
      </c>
      <c r="F495" s="3">
        <v>491</v>
      </c>
      <c r="H495" s="98">
        <f t="shared" si="33"/>
        <v>1910125</v>
      </c>
      <c r="I495" s="99">
        <f t="shared" si="32"/>
        <v>5985</v>
      </c>
      <c r="J495">
        <v>1910125</v>
      </c>
      <c r="N495" s="80"/>
      <c r="R495" s="80">
        <f t="shared" si="36"/>
        <v>5985</v>
      </c>
      <c r="S495">
        <f t="shared" si="34"/>
        <v>1910125</v>
      </c>
      <c r="T495" s="80">
        <f t="shared" si="35"/>
        <v>5985</v>
      </c>
    </row>
    <row r="496" spans="1:20" x14ac:dyDescent="0.25">
      <c r="A496" s="91">
        <v>5985.5</v>
      </c>
      <c r="B496" s="31">
        <f t="shared" si="37"/>
        <v>1883533.25</v>
      </c>
      <c r="C496" s="31">
        <v>1923233.25</v>
      </c>
      <c r="D496">
        <v>26273</v>
      </c>
      <c r="E496" s="97">
        <f>[4]EvapRates!$D$16*'FlamingGorge-Elevation-Area'!D496</f>
        <v>55173.299999999988</v>
      </c>
      <c r="F496" s="3">
        <v>492</v>
      </c>
      <c r="H496" s="98">
        <f t="shared" si="33"/>
        <v>1923233.25</v>
      </c>
      <c r="I496" s="99">
        <f t="shared" si="32"/>
        <v>5985.5</v>
      </c>
      <c r="J496">
        <v>1923233.25</v>
      </c>
      <c r="N496" s="80"/>
      <c r="R496" s="80">
        <f t="shared" si="36"/>
        <v>5985.5</v>
      </c>
      <c r="S496">
        <f t="shared" si="34"/>
        <v>1923233.25</v>
      </c>
      <c r="T496" s="80">
        <f t="shared" si="35"/>
        <v>5985.5</v>
      </c>
    </row>
    <row r="497" spans="1:20" x14ac:dyDescent="0.25">
      <c r="A497" s="91">
        <v>5986</v>
      </c>
      <c r="B497" s="31">
        <f t="shared" si="37"/>
        <v>1896698</v>
      </c>
      <c r="C497" s="31">
        <v>1936398</v>
      </c>
      <c r="D497">
        <v>26386</v>
      </c>
      <c r="E497" s="97">
        <f>[4]EvapRates!$D$16*'FlamingGorge-Elevation-Area'!D497</f>
        <v>55410.599999999991</v>
      </c>
      <c r="F497" s="3">
        <v>493</v>
      </c>
      <c r="H497" s="98">
        <f t="shared" si="33"/>
        <v>1936398</v>
      </c>
      <c r="I497" s="99">
        <f t="shared" si="32"/>
        <v>5986</v>
      </c>
      <c r="J497">
        <v>1936398</v>
      </c>
      <c r="N497" s="80"/>
      <c r="R497" s="80">
        <f t="shared" si="36"/>
        <v>5986</v>
      </c>
      <c r="S497">
        <f t="shared" si="34"/>
        <v>1936398</v>
      </c>
      <c r="T497" s="80">
        <f t="shared" si="35"/>
        <v>5986</v>
      </c>
    </row>
    <row r="498" spans="1:20" x14ac:dyDescent="0.25">
      <c r="A498" s="91">
        <v>5986.5</v>
      </c>
      <c r="B498" s="31">
        <f t="shared" si="37"/>
        <v>1909919.25</v>
      </c>
      <c r="C498" s="31">
        <v>1949619.25</v>
      </c>
      <c r="D498">
        <v>26499</v>
      </c>
      <c r="E498" s="97">
        <f>[4]EvapRates!$D$16*'FlamingGorge-Elevation-Area'!D498</f>
        <v>55647.899999999994</v>
      </c>
      <c r="F498" s="3">
        <v>494</v>
      </c>
      <c r="H498" s="98">
        <f t="shared" si="33"/>
        <v>1949619.25</v>
      </c>
      <c r="I498" s="99">
        <f t="shared" si="32"/>
        <v>5986.5</v>
      </c>
      <c r="J498">
        <v>1949619.25</v>
      </c>
      <c r="N498" s="80"/>
      <c r="R498" s="80">
        <f t="shared" si="36"/>
        <v>5986.5</v>
      </c>
      <c r="S498">
        <f t="shared" si="34"/>
        <v>1949619.25</v>
      </c>
      <c r="T498" s="80">
        <f t="shared" si="35"/>
        <v>5986.5</v>
      </c>
    </row>
    <row r="499" spans="1:20" x14ac:dyDescent="0.25">
      <c r="A499" s="91">
        <v>5987</v>
      </c>
      <c r="B499" s="31">
        <f t="shared" si="37"/>
        <v>1923197</v>
      </c>
      <c r="C499" s="31">
        <v>1962897</v>
      </c>
      <c r="D499">
        <v>26612</v>
      </c>
      <c r="E499" s="97">
        <f>[4]EvapRates!$D$16*'FlamingGorge-Elevation-Area'!D499</f>
        <v>55885.19999999999</v>
      </c>
      <c r="F499" s="3">
        <v>495</v>
      </c>
      <c r="H499" s="98">
        <f t="shared" si="33"/>
        <v>1962897</v>
      </c>
      <c r="I499" s="99">
        <f t="shared" si="32"/>
        <v>5987</v>
      </c>
      <c r="J499">
        <v>1962897</v>
      </c>
      <c r="N499" s="80"/>
      <c r="R499" s="80">
        <f t="shared" si="36"/>
        <v>5987</v>
      </c>
      <c r="S499">
        <f t="shared" si="34"/>
        <v>1962897</v>
      </c>
      <c r="T499" s="80">
        <f t="shared" si="35"/>
        <v>5987</v>
      </c>
    </row>
    <row r="500" spans="1:20" x14ac:dyDescent="0.25">
      <c r="A500" s="91">
        <v>5987.5</v>
      </c>
      <c r="B500" s="31">
        <f t="shared" si="37"/>
        <v>1936531.25</v>
      </c>
      <c r="C500" s="31">
        <v>1976231.25</v>
      </c>
      <c r="D500">
        <v>26725</v>
      </c>
      <c r="E500" s="97">
        <f>[4]EvapRates!$D$16*'FlamingGorge-Elevation-Area'!D500</f>
        <v>56122.499999999993</v>
      </c>
      <c r="F500" s="3">
        <v>496</v>
      </c>
      <c r="H500" s="98">
        <f t="shared" si="33"/>
        <v>1976231.25</v>
      </c>
      <c r="I500" s="99">
        <f t="shared" si="32"/>
        <v>5987.5</v>
      </c>
      <c r="J500">
        <v>1976231.25</v>
      </c>
      <c r="N500" s="80"/>
      <c r="R500" s="80">
        <f>R499+0.5</f>
        <v>5987.5</v>
      </c>
      <c r="S500">
        <f t="shared" si="34"/>
        <v>1976231.25</v>
      </c>
      <c r="T500" s="80">
        <f t="shared" si="35"/>
        <v>5987.5</v>
      </c>
    </row>
    <row r="501" spans="1:20" x14ac:dyDescent="0.25">
      <c r="A501" s="91">
        <v>5988</v>
      </c>
      <c r="B501" s="31">
        <f t="shared" si="37"/>
        <v>1949922</v>
      </c>
      <c r="C501" s="31">
        <v>1989622</v>
      </c>
      <c r="D501">
        <v>26838</v>
      </c>
      <c r="E501" s="97">
        <f>[4]EvapRates!$D$16*'FlamingGorge-Elevation-Area'!D501</f>
        <v>56359.799999999988</v>
      </c>
      <c r="F501" s="3">
        <v>497</v>
      </c>
      <c r="H501" s="98">
        <f t="shared" si="33"/>
        <v>1989622</v>
      </c>
      <c r="I501" s="99">
        <f t="shared" si="32"/>
        <v>5988</v>
      </c>
      <c r="J501">
        <v>1989622</v>
      </c>
      <c r="N501" s="80"/>
      <c r="R501" s="80">
        <f t="shared" ref="R501:R564" si="38">R500+0.5</f>
        <v>5988</v>
      </c>
      <c r="S501">
        <f t="shared" si="34"/>
        <v>1989622</v>
      </c>
      <c r="T501" s="80">
        <f t="shared" si="35"/>
        <v>5988</v>
      </c>
    </row>
    <row r="502" spans="1:20" x14ac:dyDescent="0.25">
      <c r="A502" s="91">
        <v>5988.5</v>
      </c>
      <c r="B502" s="31">
        <f t="shared" si="37"/>
        <v>1963369.25</v>
      </c>
      <c r="C502" s="31">
        <v>2003069.25</v>
      </c>
      <c r="D502">
        <v>26951</v>
      </c>
      <c r="E502" s="97">
        <f>[4]EvapRates!$D$16*'FlamingGorge-Elevation-Area'!D502</f>
        <v>56597.099999999991</v>
      </c>
      <c r="F502" s="3">
        <v>498</v>
      </c>
      <c r="H502" s="98">
        <f t="shared" si="33"/>
        <v>2003069.25</v>
      </c>
      <c r="I502" s="99">
        <f t="shared" si="32"/>
        <v>5988.5</v>
      </c>
      <c r="J502">
        <v>2003069.25</v>
      </c>
      <c r="N502" s="80"/>
      <c r="R502" s="80">
        <f t="shared" si="38"/>
        <v>5988.5</v>
      </c>
      <c r="S502">
        <f t="shared" si="34"/>
        <v>2003069.25</v>
      </c>
      <c r="T502" s="80">
        <f t="shared" si="35"/>
        <v>5988.5</v>
      </c>
    </row>
    <row r="503" spans="1:20" x14ac:dyDescent="0.25">
      <c r="A503" s="91">
        <v>5989</v>
      </c>
      <c r="B503" s="31">
        <f t="shared" si="37"/>
        <v>1976873</v>
      </c>
      <c r="C503" s="31">
        <v>2016573</v>
      </c>
      <c r="D503">
        <v>27064</v>
      </c>
      <c r="E503" s="97">
        <f>[4]EvapRates!$D$16*'FlamingGorge-Elevation-Area'!D503</f>
        <v>56834.399999999987</v>
      </c>
      <c r="F503" s="3">
        <v>499</v>
      </c>
      <c r="H503" s="98">
        <f t="shared" si="33"/>
        <v>2016573</v>
      </c>
      <c r="I503" s="99">
        <f t="shared" si="32"/>
        <v>5989</v>
      </c>
      <c r="J503">
        <v>2016573</v>
      </c>
      <c r="N503" s="80"/>
      <c r="R503" s="80">
        <f t="shared" si="38"/>
        <v>5989</v>
      </c>
      <c r="S503">
        <f t="shared" si="34"/>
        <v>2016573</v>
      </c>
      <c r="T503" s="80">
        <f t="shared" si="35"/>
        <v>5989</v>
      </c>
    </row>
    <row r="504" spans="1:20" x14ac:dyDescent="0.25">
      <c r="A504" s="91">
        <v>5989.5</v>
      </c>
      <c r="B504" s="31">
        <f t="shared" si="37"/>
        <v>1990433.25</v>
      </c>
      <c r="C504" s="31">
        <v>2030133.25</v>
      </c>
      <c r="D504">
        <v>27177</v>
      </c>
      <c r="E504" s="97">
        <f>[4]EvapRates!$D$16*'FlamingGorge-Elevation-Area'!D504</f>
        <v>57071.69999999999</v>
      </c>
      <c r="F504" s="3">
        <v>500</v>
      </c>
      <c r="H504" s="98">
        <f t="shared" si="33"/>
        <v>2030133.25</v>
      </c>
      <c r="I504" s="99">
        <f t="shared" si="32"/>
        <v>5989.5</v>
      </c>
      <c r="J504">
        <v>2030133.25</v>
      </c>
      <c r="N504" s="80"/>
      <c r="R504" s="80">
        <f t="shared" si="38"/>
        <v>5989.5</v>
      </c>
      <c r="S504">
        <f t="shared" si="34"/>
        <v>2030133.25</v>
      </c>
      <c r="T504" s="80">
        <f t="shared" si="35"/>
        <v>5989.5</v>
      </c>
    </row>
    <row r="505" spans="1:20" x14ac:dyDescent="0.25">
      <c r="A505" s="91">
        <v>5990</v>
      </c>
      <c r="B505" s="31">
        <f t="shared" si="37"/>
        <v>2004050</v>
      </c>
      <c r="C505" s="31">
        <v>2043750</v>
      </c>
      <c r="D505">
        <v>27290</v>
      </c>
      <c r="E505" s="97">
        <f>[4]EvapRates!$D$16*'FlamingGorge-Elevation-Area'!D505</f>
        <v>57308.999999999993</v>
      </c>
      <c r="F505" s="3">
        <v>501</v>
      </c>
      <c r="H505" s="98">
        <f t="shared" si="33"/>
        <v>2043750</v>
      </c>
      <c r="I505" s="99">
        <f t="shared" si="32"/>
        <v>5990</v>
      </c>
      <c r="J505">
        <v>2043750</v>
      </c>
      <c r="N505" s="80"/>
      <c r="R505" s="80">
        <f t="shared" si="38"/>
        <v>5990</v>
      </c>
      <c r="S505">
        <f t="shared" si="34"/>
        <v>2043750</v>
      </c>
      <c r="T505" s="80">
        <f t="shared" si="35"/>
        <v>5990</v>
      </c>
    </row>
    <row r="506" spans="1:20" x14ac:dyDescent="0.25">
      <c r="A506" s="91">
        <v>5990.5</v>
      </c>
      <c r="B506" s="31">
        <f t="shared" si="37"/>
        <v>2017727.75</v>
      </c>
      <c r="C506" s="31">
        <v>2057427.75</v>
      </c>
      <c r="D506">
        <v>27421</v>
      </c>
      <c r="E506" s="97">
        <f>[4]EvapRates!$D$16*'FlamingGorge-Elevation-Area'!D506</f>
        <v>57584.099999999991</v>
      </c>
      <c r="F506" s="3">
        <v>502</v>
      </c>
      <c r="H506" s="98">
        <f t="shared" si="33"/>
        <v>2057427.75</v>
      </c>
      <c r="I506" s="99">
        <f t="shared" si="32"/>
        <v>5990.5</v>
      </c>
      <c r="J506">
        <v>2057427.75</v>
      </c>
      <c r="N506" s="80"/>
      <c r="R506" s="80">
        <f t="shared" si="38"/>
        <v>5990.5</v>
      </c>
      <c r="S506">
        <f t="shared" si="34"/>
        <v>2057427.75</v>
      </c>
      <c r="T506" s="80">
        <f t="shared" si="35"/>
        <v>5990.5</v>
      </c>
    </row>
    <row r="507" spans="1:20" x14ac:dyDescent="0.25">
      <c r="A507" s="91">
        <v>5991</v>
      </c>
      <c r="B507" s="31">
        <f t="shared" si="37"/>
        <v>2031471</v>
      </c>
      <c r="C507" s="31">
        <v>2071171</v>
      </c>
      <c r="D507">
        <v>27552</v>
      </c>
      <c r="E507" s="97">
        <f>[4]EvapRates!$D$16*'FlamingGorge-Elevation-Area'!D507</f>
        <v>57859.19999999999</v>
      </c>
      <c r="F507" s="3">
        <v>503</v>
      </c>
      <c r="H507" s="98">
        <f t="shared" si="33"/>
        <v>2071171</v>
      </c>
      <c r="I507" s="99">
        <f t="shared" si="32"/>
        <v>5991</v>
      </c>
      <c r="J507">
        <v>2071171</v>
      </c>
      <c r="N507" s="80"/>
      <c r="R507" s="80">
        <f t="shared" si="38"/>
        <v>5991</v>
      </c>
      <c r="S507">
        <f t="shared" si="34"/>
        <v>2071171</v>
      </c>
      <c r="T507" s="80">
        <f t="shared" si="35"/>
        <v>5991</v>
      </c>
    </row>
    <row r="508" spans="1:20" x14ac:dyDescent="0.25">
      <c r="A508" s="91">
        <v>5991.5</v>
      </c>
      <c r="B508" s="31">
        <f t="shared" si="37"/>
        <v>2045279.75</v>
      </c>
      <c r="C508" s="31">
        <v>2084979.75</v>
      </c>
      <c r="D508">
        <v>27683</v>
      </c>
      <c r="E508" s="97">
        <f>[4]EvapRates!$D$16*'FlamingGorge-Elevation-Area'!D508</f>
        <v>58134.299999999988</v>
      </c>
      <c r="F508" s="3">
        <v>504</v>
      </c>
      <c r="H508" s="98">
        <f t="shared" si="33"/>
        <v>2084979.75</v>
      </c>
      <c r="I508" s="99">
        <f t="shared" si="32"/>
        <v>5991.5</v>
      </c>
      <c r="J508">
        <v>2084979.75</v>
      </c>
      <c r="N508" s="80"/>
      <c r="R508" s="80">
        <f t="shared" si="38"/>
        <v>5991.5</v>
      </c>
      <c r="S508">
        <f t="shared" si="34"/>
        <v>2084979.75</v>
      </c>
      <c r="T508" s="80">
        <f t="shared" si="35"/>
        <v>5991.5</v>
      </c>
    </row>
    <row r="509" spans="1:20" x14ac:dyDescent="0.25">
      <c r="A509" s="91">
        <v>5992</v>
      </c>
      <c r="B509" s="31">
        <f t="shared" si="37"/>
        <v>2059154</v>
      </c>
      <c r="C509" s="31">
        <v>2098854</v>
      </c>
      <c r="D509">
        <v>27814</v>
      </c>
      <c r="E509" s="97">
        <f>[4]EvapRates!$D$16*'FlamingGorge-Elevation-Area'!D509</f>
        <v>58409.399999999987</v>
      </c>
      <c r="F509" s="3">
        <v>505</v>
      </c>
      <c r="H509" s="98">
        <f t="shared" si="33"/>
        <v>2098854</v>
      </c>
      <c r="I509" s="99">
        <f t="shared" si="32"/>
        <v>5992</v>
      </c>
      <c r="J509">
        <v>2098854</v>
      </c>
      <c r="N509" s="80"/>
      <c r="R509" s="80">
        <f t="shared" si="38"/>
        <v>5992</v>
      </c>
      <c r="S509">
        <f t="shared" si="34"/>
        <v>2098854</v>
      </c>
      <c r="T509" s="80">
        <f t="shared" si="35"/>
        <v>5992</v>
      </c>
    </row>
    <row r="510" spans="1:20" x14ac:dyDescent="0.25">
      <c r="A510" s="91">
        <v>5992.5</v>
      </c>
      <c r="B510" s="31">
        <f t="shared" si="37"/>
        <v>2073093.75</v>
      </c>
      <c r="C510" s="31">
        <v>2112793.75</v>
      </c>
      <c r="D510">
        <v>27945</v>
      </c>
      <c r="E510" s="97">
        <f>[4]EvapRates!$D$16*'FlamingGorge-Elevation-Area'!D510</f>
        <v>58684.499999999993</v>
      </c>
      <c r="F510" s="3">
        <v>506</v>
      </c>
      <c r="H510" s="98">
        <f t="shared" si="33"/>
        <v>2112793.75</v>
      </c>
      <c r="I510" s="99">
        <f t="shared" si="32"/>
        <v>5992.5</v>
      </c>
      <c r="J510">
        <v>2112793.75</v>
      </c>
      <c r="N510" s="80"/>
      <c r="R510" s="80">
        <f t="shared" si="38"/>
        <v>5992.5</v>
      </c>
      <c r="S510">
        <f t="shared" si="34"/>
        <v>2112793.75</v>
      </c>
      <c r="T510" s="80">
        <f t="shared" si="35"/>
        <v>5992.5</v>
      </c>
    </row>
    <row r="511" spans="1:20" x14ac:dyDescent="0.25">
      <c r="A511" s="91">
        <v>5993</v>
      </c>
      <c r="B511" s="31">
        <f t="shared" si="37"/>
        <v>2087099</v>
      </c>
      <c r="C511" s="31">
        <v>2126799</v>
      </c>
      <c r="D511">
        <v>28076</v>
      </c>
      <c r="E511" s="97">
        <f>[4]EvapRates!$D$16*'FlamingGorge-Elevation-Area'!D511</f>
        <v>58959.599999999991</v>
      </c>
      <c r="F511" s="3">
        <v>507</v>
      </c>
      <c r="H511" s="98">
        <f t="shared" si="33"/>
        <v>2126799</v>
      </c>
      <c r="I511" s="99">
        <f t="shared" si="32"/>
        <v>5993</v>
      </c>
      <c r="J511">
        <v>2126799</v>
      </c>
      <c r="N511" s="80"/>
      <c r="R511" s="80">
        <f t="shared" si="38"/>
        <v>5993</v>
      </c>
      <c r="S511">
        <f t="shared" si="34"/>
        <v>2126799</v>
      </c>
      <c r="T511" s="80">
        <f t="shared" si="35"/>
        <v>5993</v>
      </c>
    </row>
    <row r="512" spans="1:20" x14ac:dyDescent="0.25">
      <c r="A512" s="91">
        <v>5993.5</v>
      </c>
      <c r="B512" s="31">
        <f t="shared" si="37"/>
        <v>2101169.75</v>
      </c>
      <c r="C512" s="31">
        <v>2140869.75</v>
      </c>
      <c r="D512">
        <v>28207</v>
      </c>
      <c r="E512" s="97">
        <f>[4]EvapRates!$D$16*'FlamingGorge-Elevation-Area'!D512</f>
        <v>59234.69999999999</v>
      </c>
      <c r="F512" s="3">
        <v>508</v>
      </c>
      <c r="H512" s="98">
        <f t="shared" si="33"/>
        <v>2140869.75</v>
      </c>
      <c r="I512" s="99">
        <f t="shared" si="32"/>
        <v>5993.5</v>
      </c>
      <c r="J512">
        <v>2140869.75</v>
      </c>
      <c r="N512" s="80"/>
      <c r="R512" s="80">
        <f t="shared" si="38"/>
        <v>5993.5</v>
      </c>
      <c r="S512">
        <f t="shared" si="34"/>
        <v>2140869.75</v>
      </c>
      <c r="T512" s="80">
        <f t="shared" si="35"/>
        <v>5993.5</v>
      </c>
    </row>
    <row r="513" spans="1:20" x14ac:dyDescent="0.25">
      <c r="A513" s="91">
        <v>5994</v>
      </c>
      <c r="B513" s="31">
        <f t="shared" si="37"/>
        <v>2115306</v>
      </c>
      <c r="C513" s="31">
        <v>2155006</v>
      </c>
      <c r="D513">
        <v>28338</v>
      </c>
      <c r="E513" s="97">
        <f>[4]EvapRates!$D$16*'FlamingGorge-Elevation-Area'!D513</f>
        <v>59509.799999999988</v>
      </c>
      <c r="F513" s="3">
        <v>509</v>
      </c>
      <c r="H513" s="98">
        <f t="shared" si="33"/>
        <v>2155006</v>
      </c>
      <c r="I513" s="99">
        <f t="shared" si="32"/>
        <v>5994</v>
      </c>
      <c r="J513">
        <v>2155006</v>
      </c>
      <c r="N513" s="80"/>
      <c r="R513" s="80">
        <f t="shared" si="38"/>
        <v>5994</v>
      </c>
      <c r="S513">
        <f t="shared" si="34"/>
        <v>2155006</v>
      </c>
      <c r="T513" s="80">
        <f t="shared" si="35"/>
        <v>5994</v>
      </c>
    </row>
    <row r="514" spans="1:20" x14ac:dyDescent="0.25">
      <c r="A514" s="91">
        <v>5994.5</v>
      </c>
      <c r="B514" s="31">
        <f t="shared" si="37"/>
        <v>2129507.75</v>
      </c>
      <c r="C514" s="31">
        <v>2169207.75</v>
      </c>
      <c r="D514">
        <v>28469</v>
      </c>
      <c r="E514" s="97">
        <f>[4]EvapRates!$D$16*'FlamingGorge-Elevation-Area'!D514</f>
        <v>59784.899999999987</v>
      </c>
      <c r="F514" s="3">
        <v>510</v>
      </c>
      <c r="H514" s="98">
        <f t="shared" si="33"/>
        <v>2169207.75</v>
      </c>
      <c r="I514" s="99">
        <f t="shared" si="32"/>
        <v>5994.5</v>
      </c>
      <c r="J514">
        <v>2169207.75</v>
      </c>
      <c r="N514" s="80"/>
      <c r="R514" s="80">
        <f t="shared" si="38"/>
        <v>5994.5</v>
      </c>
      <c r="S514">
        <f t="shared" si="34"/>
        <v>2169207.75</v>
      </c>
      <c r="T514" s="80">
        <f t="shared" si="35"/>
        <v>5994.5</v>
      </c>
    </row>
    <row r="515" spans="1:20" x14ac:dyDescent="0.25">
      <c r="A515" s="91">
        <v>5995</v>
      </c>
      <c r="B515" s="31">
        <f t="shared" si="37"/>
        <v>2143775</v>
      </c>
      <c r="C515" s="31">
        <v>2183475</v>
      </c>
      <c r="D515">
        <v>28600</v>
      </c>
      <c r="E515" s="97">
        <f>[4]EvapRates!$D$16*'FlamingGorge-Elevation-Area'!D515</f>
        <v>60059.999999999993</v>
      </c>
      <c r="F515" s="3">
        <v>511</v>
      </c>
      <c r="H515" s="98">
        <f t="shared" si="33"/>
        <v>2183475</v>
      </c>
      <c r="I515" s="99">
        <f t="shared" si="32"/>
        <v>5995</v>
      </c>
      <c r="J515">
        <v>2183475</v>
      </c>
      <c r="N515" s="80"/>
      <c r="R515" s="80">
        <f t="shared" si="38"/>
        <v>5995</v>
      </c>
      <c r="S515">
        <f t="shared" si="34"/>
        <v>2183475</v>
      </c>
      <c r="T515" s="80">
        <f t="shared" si="35"/>
        <v>5995</v>
      </c>
    </row>
    <row r="516" spans="1:20" x14ac:dyDescent="0.25">
      <c r="A516" s="91">
        <v>5995.5</v>
      </c>
      <c r="B516" s="31">
        <f t="shared" si="37"/>
        <v>2158107.75</v>
      </c>
      <c r="C516" s="31">
        <v>2197807.75</v>
      </c>
      <c r="D516">
        <v>28731</v>
      </c>
      <c r="E516" s="97">
        <f>[4]EvapRates!$D$16*'FlamingGorge-Elevation-Area'!D516</f>
        <v>60335.099999999991</v>
      </c>
      <c r="F516" s="3">
        <v>512</v>
      </c>
      <c r="H516" s="98">
        <f t="shared" si="33"/>
        <v>2197807.75</v>
      </c>
      <c r="I516" s="99">
        <f t="shared" si="32"/>
        <v>5995.5</v>
      </c>
      <c r="J516">
        <v>2197807.75</v>
      </c>
      <c r="N516" s="80"/>
      <c r="R516" s="80">
        <f t="shared" si="38"/>
        <v>5995.5</v>
      </c>
      <c r="S516">
        <f t="shared" si="34"/>
        <v>2197807.75</v>
      </c>
      <c r="T516" s="80">
        <f t="shared" si="35"/>
        <v>5995.5</v>
      </c>
    </row>
    <row r="517" spans="1:20" x14ac:dyDescent="0.25">
      <c r="A517" s="91">
        <v>5996</v>
      </c>
      <c r="B517" s="31">
        <f t="shared" si="37"/>
        <v>2172506</v>
      </c>
      <c r="C517" s="31">
        <v>2212206</v>
      </c>
      <c r="D517">
        <v>28862</v>
      </c>
      <c r="E517" s="97">
        <f>[4]EvapRates!$D$16*'FlamingGorge-Elevation-Area'!D517</f>
        <v>60610.19999999999</v>
      </c>
      <c r="F517" s="3">
        <v>513</v>
      </c>
      <c r="H517" s="98">
        <f t="shared" si="33"/>
        <v>2212206</v>
      </c>
      <c r="I517" s="99">
        <f t="shared" ref="I517:I580" si="39">A517</f>
        <v>5996</v>
      </c>
      <c r="J517">
        <v>2212206</v>
      </c>
      <c r="N517" s="80"/>
      <c r="R517" s="80">
        <f t="shared" si="38"/>
        <v>5996</v>
      </c>
      <c r="S517">
        <f t="shared" si="34"/>
        <v>2212206</v>
      </c>
      <c r="T517" s="80">
        <f t="shared" si="35"/>
        <v>5996</v>
      </c>
    </row>
    <row r="518" spans="1:20" x14ac:dyDescent="0.25">
      <c r="A518" s="91">
        <v>5996.5</v>
      </c>
      <c r="B518" s="31">
        <f t="shared" si="37"/>
        <v>2186969.75</v>
      </c>
      <c r="C518" s="31">
        <v>2226669.75</v>
      </c>
      <c r="D518">
        <v>28993</v>
      </c>
      <c r="E518" s="97">
        <f>[4]EvapRates!$D$16*'FlamingGorge-Elevation-Area'!D518</f>
        <v>60885.299999999988</v>
      </c>
      <c r="F518" s="3">
        <v>514</v>
      </c>
      <c r="H518" s="98">
        <f t="shared" ref="H518:H581" si="40">C518</f>
        <v>2226669.75</v>
      </c>
      <c r="I518" s="99">
        <f t="shared" si="39"/>
        <v>5996.5</v>
      </c>
      <c r="J518">
        <v>2226669.75</v>
      </c>
      <c r="N518" s="80"/>
      <c r="R518" s="80">
        <f t="shared" si="38"/>
        <v>5996.5</v>
      </c>
      <c r="S518">
        <f t="shared" si="34"/>
        <v>2226669.75</v>
      </c>
      <c r="T518" s="80">
        <f t="shared" si="35"/>
        <v>5996.5</v>
      </c>
    </row>
    <row r="519" spans="1:20" x14ac:dyDescent="0.25">
      <c r="A519" s="91">
        <v>5997</v>
      </c>
      <c r="B519" s="31">
        <f t="shared" si="37"/>
        <v>2201499</v>
      </c>
      <c r="C519" s="31">
        <v>2241199</v>
      </c>
      <c r="D519">
        <v>29124</v>
      </c>
      <c r="E519" s="97">
        <f>[4]EvapRates!$D$16*'FlamingGorge-Elevation-Area'!D519</f>
        <v>61160.399999999987</v>
      </c>
      <c r="F519" s="3">
        <v>515</v>
      </c>
      <c r="H519" s="98">
        <f t="shared" si="40"/>
        <v>2241199</v>
      </c>
      <c r="I519" s="99">
        <f t="shared" si="39"/>
        <v>5997</v>
      </c>
      <c r="J519">
        <v>2241199</v>
      </c>
      <c r="N519" s="80"/>
      <c r="R519" s="80">
        <f t="shared" si="38"/>
        <v>5997</v>
      </c>
      <c r="S519">
        <f t="shared" si="34"/>
        <v>2241199</v>
      </c>
      <c r="T519" s="80">
        <f t="shared" si="35"/>
        <v>5997</v>
      </c>
    </row>
    <row r="520" spans="1:20" x14ac:dyDescent="0.25">
      <c r="A520" s="91">
        <v>5997.5</v>
      </c>
      <c r="B520" s="31">
        <f t="shared" si="37"/>
        <v>2216093.75</v>
      </c>
      <c r="C520" s="31">
        <v>2255793.75</v>
      </c>
      <c r="D520">
        <v>29255</v>
      </c>
      <c r="E520" s="97">
        <f>[4]EvapRates!$D$16*'FlamingGorge-Elevation-Area'!D520</f>
        <v>61435.499999999993</v>
      </c>
      <c r="F520" s="3">
        <v>516</v>
      </c>
      <c r="H520" s="98">
        <f t="shared" si="40"/>
        <v>2255793.75</v>
      </c>
      <c r="I520" s="99">
        <f t="shared" si="39"/>
        <v>5997.5</v>
      </c>
      <c r="J520">
        <v>2255793.75</v>
      </c>
      <c r="N520" s="80"/>
      <c r="R520" s="80">
        <f t="shared" si="38"/>
        <v>5997.5</v>
      </c>
      <c r="S520">
        <f t="shared" si="34"/>
        <v>2255793.75</v>
      </c>
      <c r="T520" s="80">
        <f t="shared" si="35"/>
        <v>5997.5</v>
      </c>
    </row>
    <row r="521" spans="1:20" x14ac:dyDescent="0.25">
      <c r="A521" s="91">
        <v>5998</v>
      </c>
      <c r="B521" s="31">
        <f t="shared" si="37"/>
        <v>2230754</v>
      </c>
      <c r="C521" s="31">
        <v>2270454</v>
      </c>
      <c r="D521">
        <v>29386</v>
      </c>
      <c r="E521" s="97">
        <f>[4]EvapRates!$D$16*'FlamingGorge-Elevation-Area'!D521</f>
        <v>61710.599999999991</v>
      </c>
      <c r="F521" s="3">
        <v>517</v>
      </c>
      <c r="H521" s="98">
        <f t="shared" si="40"/>
        <v>2270454</v>
      </c>
      <c r="I521" s="99">
        <f t="shared" si="39"/>
        <v>5998</v>
      </c>
      <c r="J521">
        <v>2270454</v>
      </c>
      <c r="N521" s="80"/>
      <c r="R521" s="80">
        <f t="shared" si="38"/>
        <v>5998</v>
      </c>
      <c r="S521">
        <f t="shared" si="34"/>
        <v>2270454</v>
      </c>
      <c r="T521" s="80">
        <f t="shared" si="35"/>
        <v>5998</v>
      </c>
    </row>
    <row r="522" spans="1:20" x14ac:dyDescent="0.25">
      <c r="A522" s="91">
        <v>5998.5</v>
      </c>
      <c r="B522" s="31">
        <f t="shared" si="37"/>
        <v>2245479.75</v>
      </c>
      <c r="C522" s="31">
        <v>2285179.75</v>
      </c>
      <c r="D522">
        <v>29517</v>
      </c>
      <c r="E522" s="97">
        <f>[4]EvapRates!$D$16*'FlamingGorge-Elevation-Area'!D522</f>
        <v>61985.69999999999</v>
      </c>
      <c r="F522" s="3">
        <v>518</v>
      </c>
      <c r="H522" s="98">
        <f t="shared" si="40"/>
        <v>2285179.75</v>
      </c>
      <c r="I522" s="99">
        <f t="shared" si="39"/>
        <v>5998.5</v>
      </c>
      <c r="J522">
        <v>2285179.75</v>
      </c>
      <c r="N522" s="80"/>
      <c r="R522" s="80">
        <f t="shared" si="38"/>
        <v>5998.5</v>
      </c>
      <c r="S522">
        <f t="shared" ref="S522:S571" si="41">J522</f>
        <v>2285179.75</v>
      </c>
      <c r="T522" s="80">
        <f t="shared" si="35"/>
        <v>5998.5</v>
      </c>
    </row>
    <row r="523" spans="1:20" x14ac:dyDescent="0.25">
      <c r="A523" s="91">
        <v>5999</v>
      </c>
      <c r="B523" s="31">
        <f t="shared" si="37"/>
        <v>2260271</v>
      </c>
      <c r="C523" s="31">
        <v>2299971</v>
      </c>
      <c r="D523">
        <v>29648</v>
      </c>
      <c r="E523" s="97">
        <f>[4]EvapRates!$D$16*'FlamingGorge-Elevation-Area'!D523</f>
        <v>62260.799999999988</v>
      </c>
      <c r="F523" s="3">
        <v>519</v>
      </c>
      <c r="H523" s="98">
        <f t="shared" si="40"/>
        <v>2299971</v>
      </c>
      <c r="I523" s="99">
        <f t="shared" si="39"/>
        <v>5999</v>
      </c>
      <c r="J523">
        <v>2299971</v>
      </c>
      <c r="N523" s="80"/>
      <c r="R523" s="80">
        <f t="shared" si="38"/>
        <v>5999</v>
      </c>
      <c r="S523">
        <f t="shared" si="41"/>
        <v>2299971</v>
      </c>
      <c r="T523" s="80">
        <f t="shared" ref="T523:T571" si="42">T522+0.5</f>
        <v>5999</v>
      </c>
    </row>
    <row r="524" spans="1:20" x14ac:dyDescent="0.25">
      <c r="A524" s="91">
        <v>5999.5</v>
      </c>
      <c r="B524" s="31">
        <f t="shared" si="37"/>
        <v>2275127.75</v>
      </c>
      <c r="C524" s="31">
        <v>2314827.75</v>
      </c>
      <c r="D524">
        <v>29779</v>
      </c>
      <c r="E524" s="97">
        <f>[4]EvapRates!$D$16*'FlamingGorge-Elevation-Area'!D524</f>
        <v>62535.899999999987</v>
      </c>
      <c r="F524" s="3">
        <v>520</v>
      </c>
      <c r="H524" s="98">
        <f t="shared" si="40"/>
        <v>2314827.75</v>
      </c>
      <c r="I524" s="99">
        <f t="shared" si="39"/>
        <v>5999.5</v>
      </c>
      <c r="J524">
        <v>2314827.75</v>
      </c>
      <c r="N524" s="80"/>
      <c r="R524" s="80">
        <f t="shared" si="38"/>
        <v>5999.5</v>
      </c>
      <c r="S524">
        <f t="shared" si="41"/>
        <v>2314827.75</v>
      </c>
      <c r="T524" s="80">
        <f t="shared" si="42"/>
        <v>5999.5</v>
      </c>
    </row>
    <row r="525" spans="1:20" x14ac:dyDescent="0.25">
      <c r="A525" s="91">
        <v>6000</v>
      </c>
      <c r="B525" s="31">
        <f t="shared" si="37"/>
        <v>2290050</v>
      </c>
      <c r="C525" s="31">
        <v>2329750</v>
      </c>
      <c r="D525">
        <v>29910</v>
      </c>
      <c r="E525" s="97">
        <f>[4]EvapRates!$D$16*'FlamingGorge-Elevation-Area'!D525</f>
        <v>62810.999999999993</v>
      </c>
      <c r="F525" s="3">
        <v>521</v>
      </c>
      <c r="H525" s="98">
        <f t="shared" si="40"/>
        <v>2329750</v>
      </c>
      <c r="I525" s="99">
        <f t="shared" si="39"/>
        <v>6000</v>
      </c>
      <c r="J525">
        <v>2329750</v>
      </c>
      <c r="N525" s="80"/>
      <c r="R525" s="80">
        <f t="shared" si="38"/>
        <v>6000</v>
      </c>
      <c r="S525">
        <f t="shared" si="41"/>
        <v>2329750</v>
      </c>
      <c r="T525" s="80">
        <f t="shared" si="42"/>
        <v>6000</v>
      </c>
    </row>
    <row r="526" spans="1:20" x14ac:dyDescent="0.25">
      <c r="A526" s="91">
        <v>6000.5</v>
      </c>
      <c r="B526" s="31">
        <f t="shared" si="37"/>
        <v>2305035.88</v>
      </c>
      <c r="C526" s="31">
        <v>2344735.88</v>
      </c>
      <c r="D526">
        <v>30033.5</v>
      </c>
      <c r="E526" s="97">
        <f>[4]EvapRates!$D$16*'FlamingGorge-Elevation-Area'!D526</f>
        <v>63070.349999999991</v>
      </c>
      <c r="F526" s="3">
        <v>522</v>
      </c>
      <c r="H526" s="98">
        <f t="shared" si="40"/>
        <v>2344735.88</v>
      </c>
      <c r="I526" s="99">
        <f t="shared" si="39"/>
        <v>6000.5</v>
      </c>
      <c r="J526">
        <v>2344735.88</v>
      </c>
      <c r="N526" s="80"/>
      <c r="R526" s="80">
        <f t="shared" si="38"/>
        <v>6000.5</v>
      </c>
      <c r="S526">
        <f t="shared" si="41"/>
        <v>2344735.88</v>
      </c>
      <c r="T526" s="80">
        <f t="shared" si="42"/>
        <v>6000.5</v>
      </c>
    </row>
    <row r="527" spans="1:20" x14ac:dyDescent="0.25">
      <c r="A527" s="91">
        <v>6001</v>
      </c>
      <c r="B527" s="31">
        <f t="shared" si="37"/>
        <v>2320083.5</v>
      </c>
      <c r="C527" s="31">
        <v>2359783.5</v>
      </c>
      <c r="D527">
        <v>30157</v>
      </c>
      <c r="E527" s="97">
        <f>[4]EvapRates!$D$16*'FlamingGorge-Elevation-Area'!D527</f>
        <v>63329.69999999999</v>
      </c>
      <c r="F527" s="3">
        <v>523</v>
      </c>
      <c r="H527" s="98">
        <f t="shared" si="40"/>
        <v>2359783.5</v>
      </c>
      <c r="I527" s="99">
        <f t="shared" si="39"/>
        <v>6001</v>
      </c>
      <c r="J527">
        <v>2359783.5</v>
      </c>
      <c r="N527" s="80"/>
      <c r="R527" s="80">
        <f t="shared" si="38"/>
        <v>6001</v>
      </c>
      <c r="S527">
        <f t="shared" si="41"/>
        <v>2359783.5</v>
      </c>
      <c r="T527" s="80">
        <f t="shared" si="42"/>
        <v>6001</v>
      </c>
    </row>
    <row r="528" spans="1:20" x14ac:dyDescent="0.25">
      <c r="A528" s="91">
        <v>6001.5</v>
      </c>
      <c r="B528" s="31">
        <f t="shared" si="37"/>
        <v>2335192.88</v>
      </c>
      <c r="C528" s="31">
        <v>2374892.88</v>
      </c>
      <c r="D528">
        <v>30280.5</v>
      </c>
      <c r="E528" s="97">
        <f>[4]EvapRates!$D$16*'FlamingGorge-Elevation-Area'!D528</f>
        <v>63589.049999999988</v>
      </c>
      <c r="F528" s="3">
        <v>524</v>
      </c>
      <c r="H528" s="98">
        <f t="shared" si="40"/>
        <v>2374892.88</v>
      </c>
      <c r="I528" s="99">
        <f t="shared" si="39"/>
        <v>6001.5</v>
      </c>
      <c r="J528">
        <v>2374892.88</v>
      </c>
      <c r="N528" s="80"/>
      <c r="R528" s="80">
        <f t="shared" si="38"/>
        <v>6001.5</v>
      </c>
      <c r="S528">
        <f t="shared" si="41"/>
        <v>2374892.88</v>
      </c>
      <c r="T528" s="80">
        <f t="shared" si="42"/>
        <v>6001.5</v>
      </c>
    </row>
    <row r="529" spans="1:20" x14ac:dyDescent="0.25">
      <c r="A529" s="91">
        <v>6002</v>
      </c>
      <c r="B529" s="31">
        <f t="shared" si="37"/>
        <v>2350364</v>
      </c>
      <c r="C529" s="31">
        <v>2390064</v>
      </c>
      <c r="D529">
        <v>30404</v>
      </c>
      <c r="E529" s="97">
        <f>[4]EvapRates!$D$16*'FlamingGorge-Elevation-Area'!D529</f>
        <v>63848.399999999987</v>
      </c>
      <c r="F529" s="3">
        <v>525</v>
      </c>
      <c r="H529" s="98">
        <f t="shared" si="40"/>
        <v>2390064</v>
      </c>
      <c r="I529" s="99">
        <f t="shared" si="39"/>
        <v>6002</v>
      </c>
      <c r="J529">
        <v>2390064</v>
      </c>
      <c r="N529" s="80"/>
      <c r="R529" s="80">
        <f t="shared" si="38"/>
        <v>6002</v>
      </c>
      <c r="S529">
        <f t="shared" si="41"/>
        <v>2390064</v>
      </c>
      <c r="T529" s="80">
        <f t="shared" si="42"/>
        <v>6002</v>
      </c>
    </row>
    <row r="530" spans="1:20" x14ac:dyDescent="0.25">
      <c r="A530" s="91">
        <v>6002.5</v>
      </c>
      <c r="B530" s="31">
        <f t="shared" si="37"/>
        <v>2365596.88</v>
      </c>
      <c r="C530" s="31">
        <v>2405296.88</v>
      </c>
      <c r="D530">
        <v>30527.5</v>
      </c>
      <c r="E530" s="97">
        <f>[4]EvapRates!$D$16*'FlamingGorge-Elevation-Area'!D530</f>
        <v>64107.749999999993</v>
      </c>
      <c r="F530" s="3">
        <v>526</v>
      </c>
      <c r="H530" s="98">
        <f t="shared" si="40"/>
        <v>2405296.88</v>
      </c>
      <c r="I530" s="99">
        <f t="shared" si="39"/>
        <v>6002.5</v>
      </c>
      <c r="J530">
        <v>2405296.88</v>
      </c>
      <c r="N530" s="80"/>
      <c r="R530" s="80">
        <f t="shared" si="38"/>
        <v>6002.5</v>
      </c>
      <c r="S530">
        <f t="shared" si="41"/>
        <v>2405296.88</v>
      </c>
      <c r="T530" s="80">
        <f t="shared" si="42"/>
        <v>6002.5</v>
      </c>
    </row>
    <row r="531" spans="1:20" x14ac:dyDescent="0.25">
      <c r="A531" s="91">
        <v>6003</v>
      </c>
      <c r="B531" s="31">
        <f t="shared" si="37"/>
        <v>2380891.5</v>
      </c>
      <c r="C531" s="31">
        <v>2420591.5</v>
      </c>
      <c r="D531">
        <v>30651</v>
      </c>
      <c r="E531" s="97">
        <f>[4]EvapRates!$D$16*'FlamingGorge-Elevation-Area'!D531</f>
        <v>64367.099999999991</v>
      </c>
      <c r="F531" s="3">
        <v>527</v>
      </c>
      <c r="H531" s="98">
        <f t="shared" si="40"/>
        <v>2420591.5</v>
      </c>
      <c r="I531" s="99">
        <f t="shared" si="39"/>
        <v>6003</v>
      </c>
      <c r="J531">
        <v>2420591.5</v>
      </c>
      <c r="N531" s="80"/>
      <c r="R531" s="80">
        <f t="shared" si="38"/>
        <v>6003</v>
      </c>
      <c r="S531">
        <f t="shared" si="41"/>
        <v>2420591.5</v>
      </c>
      <c r="T531" s="80">
        <f t="shared" si="42"/>
        <v>6003</v>
      </c>
    </row>
    <row r="532" spans="1:20" x14ac:dyDescent="0.25">
      <c r="A532" s="91">
        <v>6003.5</v>
      </c>
      <c r="B532" s="31">
        <f t="shared" si="37"/>
        <v>2396247.88</v>
      </c>
      <c r="C532" s="31">
        <v>2435947.88</v>
      </c>
      <c r="D532">
        <v>30774.5</v>
      </c>
      <c r="E532" s="97">
        <f>[4]EvapRates!$D$16*'FlamingGorge-Elevation-Area'!D532</f>
        <v>64626.44999999999</v>
      </c>
      <c r="F532" s="3">
        <v>528</v>
      </c>
      <c r="H532" s="98">
        <f t="shared" si="40"/>
        <v>2435947.88</v>
      </c>
      <c r="I532" s="99">
        <f t="shared" si="39"/>
        <v>6003.5</v>
      </c>
      <c r="J532">
        <v>2435947.88</v>
      </c>
      <c r="N532" s="80"/>
      <c r="R532" s="80">
        <f t="shared" si="38"/>
        <v>6003.5</v>
      </c>
      <c r="S532">
        <f t="shared" si="41"/>
        <v>2435947.88</v>
      </c>
      <c r="T532" s="80">
        <f t="shared" si="42"/>
        <v>6003.5</v>
      </c>
    </row>
    <row r="533" spans="1:20" x14ac:dyDescent="0.25">
      <c r="A533" s="91">
        <v>6004</v>
      </c>
      <c r="B533" s="31">
        <f t="shared" si="37"/>
        <v>2411666</v>
      </c>
      <c r="C533" s="31">
        <v>2451366</v>
      </c>
      <c r="D533">
        <v>30898</v>
      </c>
      <c r="E533" s="97">
        <f>[4]EvapRates!$D$16*'FlamingGorge-Elevation-Area'!D533</f>
        <v>64885.799999999988</v>
      </c>
      <c r="F533" s="3">
        <v>529</v>
      </c>
      <c r="H533" s="98">
        <f t="shared" si="40"/>
        <v>2451366</v>
      </c>
      <c r="I533" s="99">
        <f t="shared" si="39"/>
        <v>6004</v>
      </c>
      <c r="J533">
        <v>2451366</v>
      </c>
      <c r="N533" s="80"/>
      <c r="R533" s="80">
        <f t="shared" si="38"/>
        <v>6004</v>
      </c>
      <c r="S533">
        <f t="shared" si="41"/>
        <v>2451366</v>
      </c>
      <c r="T533" s="80">
        <f t="shared" si="42"/>
        <v>6004</v>
      </c>
    </row>
    <row r="534" spans="1:20" x14ac:dyDescent="0.25">
      <c r="A534" s="91">
        <v>6004.5</v>
      </c>
      <c r="B534" s="31">
        <f t="shared" si="37"/>
        <v>2427145.88</v>
      </c>
      <c r="C534" s="31">
        <v>2466845.88</v>
      </c>
      <c r="D534">
        <v>31021.5</v>
      </c>
      <c r="E534" s="97">
        <f>[4]EvapRates!$D$16*'FlamingGorge-Elevation-Area'!D534</f>
        <v>65145.149999999987</v>
      </c>
      <c r="F534" s="3">
        <v>530</v>
      </c>
      <c r="H534" s="98">
        <f t="shared" si="40"/>
        <v>2466845.88</v>
      </c>
      <c r="I534" s="99">
        <f t="shared" si="39"/>
        <v>6004.5</v>
      </c>
      <c r="J534">
        <v>2466845.88</v>
      </c>
      <c r="N534" s="80"/>
      <c r="R534" s="80">
        <f t="shared" si="38"/>
        <v>6004.5</v>
      </c>
      <c r="S534">
        <f t="shared" si="41"/>
        <v>2466845.88</v>
      </c>
      <c r="T534" s="80">
        <f t="shared" si="42"/>
        <v>6004.5</v>
      </c>
    </row>
    <row r="535" spans="1:20" x14ac:dyDescent="0.25">
      <c r="A535" s="91">
        <v>6005</v>
      </c>
      <c r="B535" s="31">
        <f t="shared" si="37"/>
        <v>2442687.5</v>
      </c>
      <c r="C535" s="31">
        <v>2482387.5</v>
      </c>
      <c r="D535">
        <v>31145</v>
      </c>
      <c r="E535" s="97">
        <f>[4]EvapRates!$D$16*'FlamingGorge-Elevation-Area'!D535</f>
        <v>65404.499999999985</v>
      </c>
      <c r="F535" s="3">
        <v>531</v>
      </c>
      <c r="H535" s="98">
        <f t="shared" si="40"/>
        <v>2482387.5</v>
      </c>
      <c r="I535" s="99">
        <f t="shared" si="39"/>
        <v>6005</v>
      </c>
      <c r="J535">
        <v>2482387.5</v>
      </c>
      <c r="N535" s="80"/>
      <c r="R535" s="80">
        <f t="shared" si="38"/>
        <v>6005</v>
      </c>
      <c r="S535">
        <f t="shared" si="41"/>
        <v>2482387.5</v>
      </c>
      <c r="T535" s="80">
        <f t="shared" si="42"/>
        <v>6005</v>
      </c>
    </row>
    <row r="536" spans="1:20" x14ac:dyDescent="0.25">
      <c r="A536" s="91">
        <v>6005.5</v>
      </c>
      <c r="B536" s="31">
        <f t="shared" si="37"/>
        <v>2458290.88</v>
      </c>
      <c r="C536" s="31">
        <v>2497990.88</v>
      </c>
      <c r="D536">
        <v>31268.5</v>
      </c>
      <c r="E536" s="97">
        <f>[4]EvapRates!$D$16*'FlamingGorge-Elevation-Area'!D536</f>
        <v>65663.849999999991</v>
      </c>
      <c r="F536" s="3">
        <v>532</v>
      </c>
      <c r="H536" s="98">
        <f t="shared" si="40"/>
        <v>2497990.88</v>
      </c>
      <c r="I536" s="99">
        <f t="shared" si="39"/>
        <v>6005.5</v>
      </c>
      <c r="J536">
        <v>2497990.88</v>
      </c>
      <c r="N536" s="80"/>
      <c r="R536" s="80">
        <f t="shared" si="38"/>
        <v>6005.5</v>
      </c>
      <c r="S536">
        <f t="shared" si="41"/>
        <v>2497990.88</v>
      </c>
      <c r="T536" s="80">
        <f t="shared" si="42"/>
        <v>6005.5</v>
      </c>
    </row>
    <row r="537" spans="1:20" x14ac:dyDescent="0.25">
      <c r="A537" s="91">
        <v>6006</v>
      </c>
      <c r="B537" s="31">
        <f t="shared" si="37"/>
        <v>2473956</v>
      </c>
      <c r="C537" s="31">
        <v>2513656</v>
      </c>
      <c r="D537">
        <v>31392</v>
      </c>
      <c r="E537" s="97">
        <f>[4]EvapRates!$D$16*'FlamingGorge-Elevation-Area'!D537</f>
        <v>65923.199999999983</v>
      </c>
      <c r="F537" s="3">
        <v>533</v>
      </c>
      <c r="H537" s="98">
        <f t="shared" si="40"/>
        <v>2513656</v>
      </c>
      <c r="I537" s="99">
        <f t="shared" si="39"/>
        <v>6006</v>
      </c>
      <c r="J537">
        <v>2513656</v>
      </c>
      <c r="N537" s="80"/>
      <c r="R537" s="80">
        <f t="shared" si="38"/>
        <v>6006</v>
      </c>
      <c r="S537">
        <f t="shared" si="41"/>
        <v>2513656</v>
      </c>
      <c r="T537" s="80">
        <f t="shared" si="42"/>
        <v>6006</v>
      </c>
    </row>
    <row r="538" spans="1:20" x14ac:dyDescent="0.25">
      <c r="A538" s="91">
        <v>6006.5</v>
      </c>
      <c r="B538" s="31">
        <f t="shared" si="37"/>
        <v>2489682.88</v>
      </c>
      <c r="C538" s="31">
        <v>2529382.88</v>
      </c>
      <c r="D538">
        <v>31515.5</v>
      </c>
      <c r="E538" s="97">
        <f>[4]EvapRates!$D$16*'FlamingGorge-Elevation-Area'!D538</f>
        <v>66182.549999999988</v>
      </c>
      <c r="F538" s="3">
        <v>534</v>
      </c>
      <c r="H538" s="98">
        <f t="shared" si="40"/>
        <v>2529382.88</v>
      </c>
      <c r="I538" s="99">
        <f t="shared" si="39"/>
        <v>6006.5</v>
      </c>
      <c r="J538">
        <v>2529382.88</v>
      </c>
      <c r="N538" s="80"/>
      <c r="R538" s="80">
        <f t="shared" si="38"/>
        <v>6006.5</v>
      </c>
      <c r="S538">
        <f t="shared" si="41"/>
        <v>2529382.88</v>
      </c>
      <c r="T538" s="80">
        <f t="shared" si="42"/>
        <v>6006.5</v>
      </c>
    </row>
    <row r="539" spans="1:20" x14ac:dyDescent="0.25">
      <c r="A539" s="91">
        <v>6007</v>
      </c>
      <c r="B539" s="31">
        <f t="shared" si="37"/>
        <v>2505471.5</v>
      </c>
      <c r="C539" s="31">
        <v>2545171.5</v>
      </c>
      <c r="D539">
        <v>31639</v>
      </c>
      <c r="E539" s="97">
        <f>[4]EvapRates!$D$16*'FlamingGorge-Elevation-Area'!D539</f>
        <v>66441.899999999994</v>
      </c>
      <c r="F539" s="3">
        <v>535</v>
      </c>
      <c r="H539" s="98">
        <f t="shared" si="40"/>
        <v>2545171.5</v>
      </c>
      <c r="I539" s="99">
        <f t="shared" si="39"/>
        <v>6007</v>
      </c>
      <c r="J539">
        <v>2545171.5</v>
      </c>
      <c r="N539" s="80"/>
      <c r="R539" s="80">
        <f t="shared" si="38"/>
        <v>6007</v>
      </c>
      <c r="S539">
        <f t="shared" si="41"/>
        <v>2545171.5</v>
      </c>
      <c r="T539" s="80">
        <f t="shared" si="42"/>
        <v>6007</v>
      </c>
    </row>
    <row r="540" spans="1:20" x14ac:dyDescent="0.25">
      <c r="A540" s="91">
        <v>6007.5</v>
      </c>
      <c r="B540" s="31">
        <f t="shared" si="37"/>
        <v>2521321.88</v>
      </c>
      <c r="C540" s="31">
        <v>2561021.88</v>
      </c>
      <c r="D540">
        <v>31762.5</v>
      </c>
      <c r="E540" s="97">
        <f>[4]EvapRates!$D$16*'FlamingGorge-Elevation-Area'!D540</f>
        <v>66701.249999999985</v>
      </c>
      <c r="F540" s="3">
        <v>536</v>
      </c>
      <c r="H540" s="98">
        <f t="shared" si="40"/>
        <v>2561021.88</v>
      </c>
      <c r="I540" s="99">
        <f t="shared" si="39"/>
        <v>6007.5</v>
      </c>
      <c r="J540">
        <v>2561021.88</v>
      </c>
      <c r="N540" s="80"/>
      <c r="R540" s="80">
        <f t="shared" si="38"/>
        <v>6007.5</v>
      </c>
      <c r="S540">
        <f t="shared" si="41"/>
        <v>2561021.88</v>
      </c>
      <c r="T540" s="80">
        <f t="shared" si="42"/>
        <v>6007.5</v>
      </c>
    </row>
    <row r="541" spans="1:20" x14ac:dyDescent="0.25">
      <c r="A541" s="91">
        <v>6008</v>
      </c>
      <c r="B541" s="31">
        <f t="shared" si="37"/>
        <v>2537234</v>
      </c>
      <c r="C541" s="31">
        <v>2576934</v>
      </c>
      <c r="D541">
        <v>31886</v>
      </c>
      <c r="E541" s="97">
        <f>[4]EvapRates!$D$16*'FlamingGorge-Elevation-Area'!D541</f>
        <v>66960.599999999991</v>
      </c>
      <c r="F541" s="3">
        <v>537</v>
      </c>
      <c r="H541" s="98">
        <f t="shared" si="40"/>
        <v>2576934</v>
      </c>
      <c r="I541" s="99">
        <f t="shared" si="39"/>
        <v>6008</v>
      </c>
      <c r="J541">
        <v>2576934</v>
      </c>
      <c r="N541" s="80"/>
      <c r="R541" s="80">
        <f t="shared" si="38"/>
        <v>6008</v>
      </c>
      <c r="S541">
        <f t="shared" si="41"/>
        <v>2576934</v>
      </c>
      <c r="T541" s="80">
        <f t="shared" si="42"/>
        <v>6008</v>
      </c>
    </row>
    <row r="542" spans="1:20" x14ac:dyDescent="0.25">
      <c r="A542" s="91">
        <v>6008.5</v>
      </c>
      <c r="B542" s="31">
        <f t="shared" si="37"/>
        <v>2553207.88</v>
      </c>
      <c r="C542" s="31">
        <v>2592907.88</v>
      </c>
      <c r="D542">
        <v>32009.5</v>
      </c>
      <c r="E542" s="97">
        <f>[4]EvapRates!$D$16*'FlamingGorge-Elevation-Area'!D542</f>
        <v>67219.949999999983</v>
      </c>
      <c r="F542" s="3">
        <v>538</v>
      </c>
      <c r="H542" s="98">
        <f t="shared" si="40"/>
        <v>2592907.88</v>
      </c>
      <c r="I542" s="99">
        <f t="shared" si="39"/>
        <v>6008.5</v>
      </c>
      <c r="J542">
        <v>2592907.88</v>
      </c>
      <c r="N542" s="80"/>
      <c r="R542" s="80">
        <f t="shared" si="38"/>
        <v>6008.5</v>
      </c>
      <c r="S542">
        <f t="shared" si="41"/>
        <v>2592907.88</v>
      </c>
      <c r="T542" s="80">
        <f t="shared" si="42"/>
        <v>6008.5</v>
      </c>
    </row>
    <row r="543" spans="1:20" x14ac:dyDescent="0.25">
      <c r="A543" s="91">
        <v>6009</v>
      </c>
      <c r="B543" s="31">
        <f t="shared" ref="B543:B606" si="43">C543-39700</f>
        <v>2569243.5</v>
      </c>
      <c r="C543" s="31">
        <v>2608943.5</v>
      </c>
      <c r="D543">
        <v>32133</v>
      </c>
      <c r="E543" s="97">
        <f>[4]EvapRates!$D$16*'FlamingGorge-Elevation-Area'!D543</f>
        <v>67479.299999999988</v>
      </c>
      <c r="F543" s="3">
        <v>539</v>
      </c>
      <c r="H543" s="98">
        <f t="shared" si="40"/>
        <v>2608943.5</v>
      </c>
      <c r="I543" s="99">
        <f t="shared" si="39"/>
        <v>6009</v>
      </c>
      <c r="J543">
        <v>2608943.5</v>
      </c>
      <c r="N543" s="80"/>
      <c r="R543" s="80">
        <f t="shared" si="38"/>
        <v>6009</v>
      </c>
      <c r="S543">
        <f t="shared" si="41"/>
        <v>2608943.5</v>
      </c>
      <c r="T543" s="80">
        <f t="shared" si="42"/>
        <v>6009</v>
      </c>
    </row>
    <row r="544" spans="1:20" x14ac:dyDescent="0.25">
      <c r="A544" s="91">
        <v>6009.5</v>
      </c>
      <c r="B544" s="31">
        <f t="shared" si="43"/>
        <v>2585340.88</v>
      </c>
      <c r="C544" s="31">
        <v>2625040.88</v>
      </c>
      <c r="D544">
        <v>32256.5</v>
      </c>
      <c r="E544" s="97">
        <f>[4]EvapRates!$D$16*'FlamingGorge-Elevation-Area'!D544</f>
        <v>67738.649999999994</v>
      </c>
      <c r="F544" s="3">
        <v>540</v>
      </c>
      <c r="H544" s="98">
        <f t="shared" si="40"/>
        <v>2625040.88</v>
      </c>
      <c r="I544" s="99">
        <f t="shared" si="39"/>
        <v>6009.5</v>
      </c>
      <c r="J544">
        <v>2625040.88</v>
      </c>
      <c r="N544" s="80"/>
      <c r="R544" s="80">
        <f t="shared" si="38"/>
        <v>6009.5</v>
      </c>
      <c r="S544">
        <f t="shared" si="41"/>
        <v>2625040.88</v>
      </c>
      <c r="T544" s="80">
        <f t="shared" si="42"/>
        <v>6009.5</v>
      </c>
    </row>
    <row r="545" spans="1:20" x14ac:dyDescent="0.25">
      <c r="A545" s="91">
        <v>6010</v>
      </c>
      <c r="B545" s="31">
        <f t="shared" si="43"/>
        <v>2601500</v>
      </c>
      <c r="C545" s="31">
        <v>2641200</v>
      </c>
      <c r="D545">
        <v>32380</v>
      </c>
      <c r="E545" s="97">
        <f>[4]EvapRates!$D$16*'FlamingGorge-Elevation-Area'!D545</f>
        <v>67997.999999999985</v>
      </c>
      <c r="F545" s="3">
        <v>541</v>
      </c>
      <c r="H545" s="98">
        <f t="shared" si="40"/>
        <v>2641200</v>
      </c>
      <c r="I545" s="99">
        <f t="shared" si="39"/>
        <v>6010</v>
      </c>
      <c r="J545">
        <v>2641200</v>
      </c>
      <c r="N545" s="80"/>
      <c r="R545" s="80">
        <f t="shared" si="38"/>
        <v>6010</v>
      </c>
      <c r="S545">
        <f t="shared" si="41"/>
        <v>2641200</v>
      </c>
      <c r="T545" s="80">
        <f t="shared" si="42"/>
        <v>6010</v>
      </c>
    </row>
    <row r="546" spans="1:20" x14ac:dyDescent="0.25">
      <c r="A546" s="91">
        <v>6010.5</v>
      </c>
      <c r="B546" s="31">
        <f t="shared" si="43"/>
        <v>2617726.5</v>
      </c>
      <c r="C546" s="31">
        <v>2657426.5</v>
      </c>
      <c r="D546">
        <v>32526</v>
      </c>
      <c r="E546" s="97">
        <f>[4]EvapRates!$D$16*'FlamingGorge-Elevation-Area'!D546</f>
        <v>68304.599999999991</v>
      </c>
      <c r="F546" s="3">
        <v>542</v>
      </c>
      <c r="H546" s="98">
        <f t="shared" si="40"/>
        <v>2657426.5</v>
      </c>
      <c r="I546" s="99">
        <f t="shared" si="39"/>
        <v>6010.5</v>
      </c>
      <c r="J546">
        <v>2657426.5</v>
      </c>
      <c r="N546" s="80"/>
      <c r="R546" s="80">
        <f t="shared" si="38"/>
        <v>6010.5</v>
      </c>
      <c r="S546">
        <f t="shared" si="41"/>
        <v>2657426.5</v>
      </c>
      <c r="T546" s="80">
        <f t="shared" si="42"/>
        <v>6010.5</v>
      </c>
    </row>
    <row r="547" spans="1:20" x14ac:dyDescent="0.25">
      <c r="A547" s="91">
        <v>6011</v>
      </c>
      <c r="B547" s="31">
        <f t="shared" si="43"/>
        <v>2634026</v>
      </c>
      <c r="C547" s="31">
        <v>2673726</v>
      </c>
      <c r="D547">
        <v>32672</v>
      </c>
      <c r="E547" s="97">
        <f>[4]EvapRates!$D$16*'FlamingGorge-Elevation-Area'!D547</f>
        <v>68611.199999999983</v>
      </c>
      <c r="F547" s="3">
        <v>543</v>
      </c>
      <c r="H547" s="98">
        <f t="shared" si="40"/>
        <v>2673726</v>
      </c>
      <c r="I547" s="99">
        <f t="shared" si="39"/>
        <v>6011</v>
      </c>
      <c r="J547">
        <v>2673726</v>
      </c>
      <c r="N547" s="80"/>
      <c r="R547" s="80">
        <f t="shared" si="38"/>
        <v>6011</v>
      </c>
      <c r="S547">
        <f t="shared" si="41"/>
        <v>2673726</v>
      </c>
      <c r="T547" s="80">
        <f t="shared" si="42"/>
        <v>6011</v>
      </c>
    </row>
    <row r="548" spans="1:20" x14ac:dyDescent="0.25">
      <c r="A548" s="91">
        <v>6011.5</v>
      </c>
      <c r="B548" s="31">
        <f t="shared" si="43"/>
        <v>2650398.5</v>
      </c>
      <c r="C548" s="31">
        <v>2690098.5</v>
      </c>
      <c r="D548">
        <v>32818</v>
      </c>
      <c r="E548" s="97">
        <f>[4]EvapRates!$D$16*'FlamingGorge-Elevation-Area'!D548</f>
        <v>68917.799999999988</v>
      </c>
      <c r="F548" s="3">
        <v>544</v>
      </c>
      <c r="H548" s="98">
        <f t="shared" si="40"/>
        <v>2690098.5</v>
      </c>
      <c r="I548" s="99">
        <f t="shared" si="39"/>
        <v>6011.5</v>
      </c>
      <c r="J548">
        <v>2690098.5</v>
      </c>
      <c r="N548" s="80"/>
      <c r="R548" s="80">
        <f t="shared" si="38"/>
        <v>6011.5</v>
      </c>
      <c r="S548">
        <f t="shared" si="41"/>
        <v>2690098.5</v>
      </c>
      <c r="T548" s="80">
        <f t="shared" si="42"/>
        <v>6011.5</v>
      </c>
    </row>
    <row r="549" spans="1:20" x14ac:dyDescent="0.25">
      <c r="A549" s="91">
        <v>6012</v>
      </c>
      <c r="B549" s="31">
        <f t="shared" si="43"/>
        <v>2666844</v>
      </c>
      <c r="C549" s="31">
        <v>2706544</v>
      </c>
      <c r="D549">
        <v>32964</v>
      </c>
      <c r="E549" s="97">
        <f>[4]EvapRates!$D$16*'FlamingGorge-Elevation-Area'!D549</f>
        <v>69224.399999999994</v>
      </c>
      <c r="F549" s="3">
        <v>545</v>
      </c>
      <c r="H549" s="98">
        <f t="shared" si="40"/>
        <v>2706544</v>
      </c>
      <c r="I549" s="99">
        <f t="shared" si="39"/>
        <v>6012</v>
      </c>
      <c r="J549">
        <v>2706544</v>
      </c>
      <c r="N549" s="80"/>
      <c r="R549" s="80">
        <f t="shared" si="38"/>
        <v>6012</v>
      </c>
      <c r="S549">
        <f t="shared" si="41"/>
        <v>2706544</v>
      </c>
      <c r="T549" s="80">
        <f t="shared" si="42"/>
        <v>6012</v>
      </c>
    </row>
    <row r="550" spans="1:20" x14ac:dyDescent="0.25">
      <c r="A550" s="91">
        <v>6012.5</v>
      </c>
      <c r="B550" s="31">
        <f t="shared" si="43"/>
        <v>2683362.5</v>
      </c>
      <c r="C550" s="31">
        <v>2723062.5</v>
      </c>
      <c r="D550">
        <v>33110</v>
      </c>
      <c r="E550" s="97">
        <f>[4]EvapRates!$D$16*'FlamingGorge-Elevation-Area'!D550</f>
        <v>69530.999999999985</v>
      </c>
      <c r="F550" s="3">
        <v>546</v>
      </c>
      <c r="H550" s="98">
        <f t="shared" si="40"/>
        <v>2723062.5</v>
      </c>
      <c r="I550" s="99">
        <f t="shared" si="39"/>
        <v>6012.5</v>
      </c>
      <c r="J550">
        <v>2723062.5</v>
      </c>
      <c r="N550" s="80"/>
      <c r="R550" s="80">
        <f t="shared" si="38"/>
        <v>6012.5</v>
      </c>
      <c r="S550">
        <f t="shared" si="41"/>
        <v>2723062.5</v>
      </c>
      <c r="T550" s="80">
        <f t="shared" si="42"/>
        <v>6012.5</v>
      </c>
    </row>
    <row r="551" spans="1:20" x14ac:dyDescent="0.25">
      <c r="A551" s="91">
        <v>6013</v>
      </c>
      <c r="B551" s="31">
        <f t="shared" si="43"/>
        <v>2699954</v>
      </c>
      <c r="C551" s="31">
        <v>2739654</v>
      </c>
      <c r="D551">
        <v>33256</v>
      </c>
      <c r="E551" s="97">
        <f>[4]EvapRates!$D$16*'FlamingGorge-Elevation-Area'!D551</f>
        <v>69837.599999999991</v>
      </c>
      <c r="F551" s="3">
        <v>547</v>
      </c>
      <c r="H551" s="98">
        <f t="shared" si="40"/>
        <v>2739654</v>
      </c>
      <c r="I551" s="99">
        <f t="shared" si="39"/>
        <v>6013</v>
      </c>
      <c r="J551">
        <v>2739654</v>
      </c>
      <c r="N551" s="80"/>
      <c r="R551" s="80">
        <f t="shared" si="38"/>
        <v>6013</v>
      </c>
      <c r="S551">
        <f t="shared" si="41"/>
        <v>2739654</v>
      </c>
      <c r="T551" s="80">
        <f t="shared" si="42"/>
        <v>6013</v>
      </c>
    </row>
    <row r="552" spans="1:20" x14ac:dyDescent="0.25">
      <c r="A552" s="91">
        <v>6013.5</v>
      </c>
      <c r="B552" s="31">
        <f t="shared" si="43"/>
        <v>2716618.5</v>
      </c>
      <c r="C552" s="31">
        <v>2756318.5</v>
      </c>
      <c r="D552">
        <v>33402</v>
      </c>
      <c r="E552" s="97">
        <f>[4]EvapRates!$D$16*'FlamingGorge-Elevation-Area'!D552</f>
        <v>70144.199999999983</v>
      </c>
      <c r="F552" s="3">
        <v>548</v>
      </c>
      <c r="H552" s="98">
        <f t="shared" si="40"/>
        <v>2756318.5</v>
      </c>
      <c r="I552" s="99">
        <f t="shared" si="39"/>
        <v>6013.5</v>
      </c>
      <c r="J552">
        <v>2756318.5</v>
      </c>
      <c r="N552" s="80"/>
      <c r="R552" s="80">
        <f t="shared" si="38"/>
        <v>6013.5</v>
      </c>
      <c r="S552">
        <f t="shared" si="41"/>
        <v>2756318.5</v>
      </c>
      <c r="T552" s="80">
        <f t="shared" si="42"/>
        <v>6013.5</v>
      </c>
    </row>
    <row r="553" spans="1:20" x14ac:dyDescent="0.25">
      <c r="A553" s="91">
        <v>6014</v>
      </c>
      <c r="B553" s="31">
        <f t="shared" si="43"/>
        <v>2733356</v>
      </c>
      <c r="C553" s="31">
        <v>2773056</v>
      </c>
      <c r="D553">
        <v>33548</v>
      </c>
      <c r="E553" s="97">
        <f>[4]EvapRates!$D$16*'FlamingGorge-Elevation-Area'!D553</f>
        <v>70450.799999999988</v>
      </c>
      <c r="F553" s="3">
        <v>549</v>
      </c>
      <c r="H553" s="98">
        <f t="shared" si="40"/>
        <v>2773056</v>
      </c>
      <c r="I553" s="99">
        <f t="shared" si="39"/>
        <v>6014</v>
      </c>
      <c r="J553">
        <v>2773056</v>
      </c>
      <c r="N553" s="80"/>
      <c r="R553" s="80">
        <f t="shared" si="38"/>
        <v>6014</v>
      </c>
      <c r="S553">
        <f t="shared" si="41"/>
        <v>2773056</v>
      </c>
      <c r="T553" s="80">
        <f t="shared" si="42"/>
        <v>6014</v>
      </c>
    </row>
    <row r="554" spans="1:20" x14ac:dyDescent="0.25">
      <c r="A554" s="91">
        <v>6014.5</v>
      </c>
      <c r="B554" s="31">
        <f t="shared" si="43"/>
        <v>2750166.5</v>
      </c>
      <c r="C554" s="31">
        <v>2789866.5</v>
      </c>
      <c r="D554">
        <v>33694</v>
      </c>
      <c r="E554" s="97">
        <f>[4]EvapRates!$D$16*'FlamingGorge-Elevation-Area'!D554</f>
        <v>70757.399999999994</v>
      </c>
      <c r="F554" s="3">
        <v>550</v>
      </c>
      <c r="H554" s="98">
        <f t="shared" si="40"/>
        <v>2789866.5</v>
      </c>
      <c r="I554" s="99">
        <f t="shared" si="39"/>
        <v>6014.5</v>
      </c>
      <c r="J554">
        <v>2789866.5</v>
      </c>
      <c r="N554" s="80"/>
      <c r="R554" s="80">
        <f t="shared" si="38"/>
        <v>6014.5</v>
      </c>
      <c r="S554">
        <f t="shared" si="41"/>
        <v>2789866.5</v>
      </c>
      <c r="T554" s="80">
        <f t="shared" si="42"/>
        <v>6014.5</v>
      </c>
    </row>
    <row r="555" spans="1:20" x14ac:dyDescent="0.25">
      <c r="A555" s="91">
        <v>6015</v>
      </c>
      <c r="B555" s="31">
        <f t="shared" si="43"/>
        <v>2767050</v>
      </c>
      <c r="C555" s="31">
        <v>2806750</v>
      </c>
      <c r="D555">
        <v>33840</v>
      </c>
      <c r="E555" s="97">
        <f>[4]EvapRates!$D$16*'FlamingGorge-Elevation-Area'!D555</f>
        <v>71063.999999999985</v>
      </c>
      <c r="F555" s="3">
        <v>551</v>
      </c>
      <c r="H555" s="98">
        <f t="shared" si="40"/>
        <v>2806750</v>
      </c>
      <c r="I555" s="99">
        <f t="shared" si="39"/>
        <v>6015</v>
      </c>
      <c r="J555">
        <v>2806750</v>
      </c>
      <c r="N555" s="80"/>
      <c r="R555" s="80">
        <f t="shared" si="38"/>
        <v>6015</v>
      </c>
      <c r="S555">
        <f t="shared" si="41"/>
        <v>2806750</v>
      </c>
      <c r="T555" s="80">
        <f t="shared" si="42"/>
        <v>6015</v>
      </c>
    </row>
    <row r="556" spans="1:20" x14ac:dyDescent="0.25">
      <c r="A556" s="91">
        <v>6015.5</v>
      </c>
      <c r="B556" s="31">
        <f t="shared" si="43"/>
        <v>2784006.5</v>
      </c>
      <c r="C556" s="31">
        <v>2823706.5</v>
      </c>
      <c r="D556">
        <v>33986</v>
      </c>
      <c r="E556" s="97">
        <f>[4]EvapRates!$D$16*'FlamingGorge-Elevation-Area'!D556</f>
        <v>71370.599999999991</v>
      </c>
      <c r="F556" s="3">
        <v>552</v>
      </c>
      <c r="H556" s="98">
        <f t="shared" si="40"/>
        <v>2823706.5</v>
      </c>
      <c r="I556" s="99">
        <f t="shared" si="39"/>
        <v>6015.5</v>
      </c>
      <c r="J556">
        <v>2823706.5</v>
      </c>
      <c r="N556" s="80"/>
      <c r="R556" s="80">
        <f t="shared" si="38"/>
        <v>6015.5</v>
      </c>
      <c r="S556">
        <f t="shared" si="41"/>
        <v>2823706.5</v>
      </c>
      <c r="T556" s="80">
        <f t="shared" si="42"/>
        <v>6015.5</v>
      </c>
    </row>
    <row r="557" spans="1:20" x14ac:dyDescent="0.25">
      <c r="A557" s="91">
        <v>6016</v>
      </c>
      <c r="B557" s="31">
        <f t="shared" si="43"/>
        <v>2801036</v>
      </c>
      <c r="C557" s="31">
        <v>2840736</v>
      </c>
      <c r="D557">
        <v>34132</v>
      </c>
      <c r="E557" s="97">
        <f>[4]EvapRates!$D$16*'FlamingGorge-Elevation-Area'!D557</f>
        <v>71677.199999999983</v>
      </c>
      <c r="F557" s="3">
        <v>553</v>
      </c>
      <c r="H557" s="98">
        <f t="shared" si="40"/>
        <v>2840736</v>
      </c>
      <c r="I557" s="99">
        <f t="shared" si="39"/>
        <v>6016</v>
      </c>
      <c r="J557">
        <v>2840736</v>
      </c>
      <c r="N557" s="80"/>
      <c r="R557" s="80">
        <f t="shared" si="38"/>
        <v>6016</v>
      </c>
      <c r="S557">
        <f t="shared" si="41"/>
        <v>2840736</v>
      </c>
      <c r="T557" s="80">
        <f t="shared" si="42"/>
        <v>6016</v>
      </c>
    </row>
    <row r="558" spans="1:20" x14ac:dyDescent="0.25">
      <c r="A558" s="91">
        <v>6016.5</v>
      </c>
      <c r="B558" s="31">
        <f t="shared" si="43"/>
        <v>2818138.5</v>
      </c>
      <c r="C558" s="31">
        <v>2857838.5</v>
      </c>
      <c r="D558">
        <v>34278</v>
      </c>
      <c r="E558" s="97">
        <f>[4]EvapRates!$D$16*'FlamingGorge-Elevation-Area'!D558</f>
        <v>71983.799999999988</v>
      </c>
      <c r="F558" s="3">
        <v>554</v>
      </c>
      <c r="H558" s="98">
        <f t="shared" si="40"/>
        <v>2857838.5</v>
      </c>
      <c r="I558" s="99">
        <f t="shared" si="39"/>
        <v>6016.5</v>
      </c>
      <c r="J558">
        <v>2857838.5</v>
      </c>
      <c r="N558" s="80"/>
      <c r="R558" s="80">
        <f t="shared" si="38"/>
        <v>6016.5</v>
      </c>
      <c r="S558">
        <f t="shared" si="41"/>
        <v>2857838.5</v>
      </c>
      <c r="T558" s="80">
        <f t="shared" si="42"/>
        <v>6016.5</v>
      </c>
    </row>
    <row r="559" spans="1:20" x14ac:dyDescent="0.25">
      <c r="A559" s="91">
        <v>6017</v>
      </c>
      <c r="B559" s="31">
        <f t="shared" si="43"/>
        <v>2835314</v>
      </c>
      <c r="C559" s="31">
        <v>2875014</v>
      </c>
      <c r="D559">
        <v>34424</v>
      </c>
      <c r="E559" s="97">
        <f>[4]EvapRates!$D$16*'FlamingGorge-Elevation-Area'!D559</f>
        <v>72290.399999999994</v>
      </c>
      <c r="F559" s="3">
        <v>555</v>
      </c>
      <c r="H559" s="98">
        <f t="shared" si="40"/>
        <v>2875014</v>
      </c>
      <c r="I559" s="99">
        <f t="shared" si="39"/>
        <v>6017</v>
      </c>
      <c r="J559">
        <v>2875014</v>
      </c>
      <c r="N559" s="80"/>
      <c r="R559" s="80">
        <f t="shared" si="38"/>
        <v>6017</v>
      </c>
      <c r="S559">
        <f t="shared" si="41"/>
        <v>2875014</v>
      </c>
      <c r="T559" s="80">
        <f t="shared" si="42"/>
        <v>6017</v>
      </c>
    </row>
    <row r="560" spans="1:20" x14ac:dyDescent="0.25">
      <c r="A560" s="91">
        <v>6017.5</v>
      </c>
      <c r="B560" s="31">
        <f t="shared" si="43"/>
        <v>2852562.5</v>
      </c>
      <c r="C560" s="31">
        <v>2892262.5</v>
      </c>
      <c r="D560">
        <v>34570</v>
      </c>
      <c r="E560" s="97">
        <f>[4]EvapRates!$D$16*'FlamingGorge-Elevation-Area'!D560</f>
        <v>72596.999999999985</v>
      </c>
      <c r="F560" s="3">
        <v>556</v>
      </c>
      <c r="H560" s="98">
        <f t="shared" si="40"/>
        <v>2892262.5</v>
      </c>
      <c r="I560" s="99">
        <f t="shared" si="39"/>
        <v>6017.5</v>
      </c>
      <c r="J560">
        <v>2892262.5</v>
      </c>
      <c r="N560" s="80"/>
      <c r="R560" s="80">
        <f t="shared" si="38"/>
        <v>6017.5</v>
      </c>
      <c r="S560">
        <f t="shared" si="41"/>
        <v>2892262.5</v>
      </c>
      <c r="T560" s="80">
        <f t="shared" si="42"/>
        <v>6017.5</v>
      </c>
    </row>
    <row r="561" spans="1:20" x14ac:dyDescent="0.25">
      <c r="A561" s="91">
        <v>6018</v>
      </c>
      <c r="B561" s="31">
        <f t="shared" si="43"/>
        <v>2869884</v>
      </c>
      <c r="C561" s="31">
        <v>2909584</v>
      </c>
      <c r="D561">
        <v>34716</v>
      </c>
      <c r="E561" s="97">
        <f>[4]EvapRates!$D$16*'FlamingGorge-Elevation-Area'!D561</f>
        <v>72903.599999999991</v>
      </c>
      <c r="F561" s="3">
        <v>557</v>
      </c>
      <c r="H561" s="98">
        <f t="shared" si="40"/>
        <v>2909584</v>
      </c>
      <c r="I561" s="99">
        <f t="shared" si="39"/>
        <v>6018</v>
      </c>
      <c r="J561">
        <v>2909584</v>
      </c>
      <c r="N561" s="80"/>
      <c r="R561" s="80">
        <f t="shared" si="38"/>
        <v>6018</v>
      </c>
      <c r="S561">
        <f t="shared" si="41"/>
        <v>2909584</v>
      </c>
      <c r="T561" s="80">
        <f t="shared" si="42"/>
        <v>6018</v>
      </c>
    </row>
    <row r="562" spans="1:20" x14ac:dyDescent="0.25">
      <c r="A562" s="91">
        <v>6018.5</v>
      </c>
      <c r="B562" s="31">
        <f t="shared" si="43"/>
        <v>2887278.5</v>
      </c>
      <c r="C562" s="31">
        <v>2926978.5</v>
      </c>
      <c r="D562">
        <v>34862</v>
      </c>
      <c r="E562" s="97">
        <f>[4]EvapRates!$D$16*'FlamingGorge-Elevation-Area'!D562</f>
        <v>73210.199999999983</v>
      </c>
      <c r="F562" s="3">
        <v>558</v>
      </c>
      <c r="H562" s="98">
        <f t="shared" si="40"/>
        <v>2926978.5</v>
      </c>
      <c r="I562" s="99">
        <f t="shared" si="39"/>
        <v>6018.5</v>
      </c>
      <c r="J562">
        <v>2926978.5</v>
      </c>
      <c r="N562" s="80"/>
      <c r="R562" s="80">
        <f t="shared" si="38"/>
        <v>6018.5</v>
      </c>
      <c r="S562">
        <f t="shared" si="41"/>
        <v>2926978.5</v>
      </c>
      <c r="T562" s="80">
        <f t="shared" si="42"/>
        <v>6018.5</v>
      </c>
    </row>
    <row r="563" spans="1:20" x14ac:dyDescent="0.25">
      <c r="A563" s="91">
        <v>6019</v>
      </c>
      <c r="B563" s="31">
        <f t="shared" si="43"/>
        <v>2904746</v>
      </c>
      <c r="C563" s="31">
        <v>2944446</v>
      </c>
      <c r="D563">
        <v>35008</v>
      </c>
      <c r="E563" s="97">
        <f>[4]EvapRates!$D$16*'FlamingGorge-Elevation-Area'!D563</f>
        <v>73516.799999999988</v>
      </c>
      <c r="F563" s="3">
        <v>559</v>
      </c>
      <c r="H563" s="98">
        <f t="shared" si="40"/>
        <v>2944446</v>
      </c>
      <c r="I563" s="99">
        <f t="shared" si="39"/>
        <v>6019</v>
      </c>
      <c r="J563">
        <v>2944446</v>
      </c>
      <c r="N563" s="80"/>
      <c r="R563" s="80">
        <f t="shared" si="38"/>
        <v>6019</v>
      </c>
      <c r="S563">
        <f t="shared" si="41"/>
        <v>2944446</v>
      </c>
      <c r="T563" s="80">
        <f t="shared" si="42"/>
        <v>6019</v>
      </c>
    </row>
    <row r="564" spans="1:20" x14ac:dyDescent="0.25">
      <c r="A564" s="91">
        <v>6019.5</v>
      </c>
      <c r="B564" s="31">
        <f t="shared" si="43"/>
        <v>2922286.5</v>
      </c>
      <c r="C564" s="31">
        <v>2961986.5</v>
      </c>
      <c r="D564">
        <v>35154</v>
      </c>
      <c r="E564" s="97">
        <f>[4]EvapRates!$D$16*'FlamingGorge-Elevation-Area'!D564</f>
        <v>73823.399999999994</v>
      </c>
      <c r="F564" s="3">
        <v>560</v>
      </c>
      <c r="H564" s="98">
        <f t="shared" si="40"/>
        <v>2961986.5</v>
      </c>
      <c r="I564" s="99">
        <f t="shared" si="39"/>
        <v>6019.5</v>
      </c>
      <c r="J564">
        <v>2961986.5</v>
      </c>
      <c r="N564" s="80"/>
      <c r="R564" s="80">
        <f t="shared" si="38"/>
        <v>6019.5</v>
      </c>
      <c r="S564">
        <f t="shared" si="41"/>
        <v>2961986.5</v>
      </c>
      <c r="T564" s="80">
        <f t="shared" si="42"/>
        <v>6019.5</v>
      </c>
    </row>
    <row r="565" spans="1:20" x14ac:dyDescent="0.25">
      <c r="A565" s="91">
        <v>6020</v>
      </c>
      <c r="B565" s="31">
        <f t="shared" si="43"/>
        <v>2939900</v>
      </c>
      <c r="C565" s="31">
        <v>2979600</v>
      </c>
      <c r="D565">
        <v>35300</v>
      </c>
      <c r="E565" s="97">
        <f>[4]EvapRates!$D$16*'FlamingGorge-Elevation-Area'!D565</f>
        <v>74129.999999999985</v>
      </c>
      <c r="F565" s="3">
        <v>561</v>
      </c>
      <c r="H565" s="98">
        <f t="shared" si="40"/>
        <v>2979600</v>
      </c>
      <c r="I565" s="99">
        <f t="shared" si="39"/>
        <v>6020</v>
      </c>
      <c r="J565">
        <v>2979600</v>
      </c>
      <c r="N565" s="80"/>
      <c r="R565" s="80">
        <f t="shared" ref="R565:R571" si="44">R564+0.5</f>
        <v>6020</v>
      </c>
      <c r="S565">
        <f t="shared" si="41"/>
        <v>2979600</v>
      </c>
      <c r="T565" s="80">
        <f t="shared" si="42"/>
        <v>6020</v>
      </c>
    </row>
    <row r="566" spans="1:20" x14ac:dyDescent="0.25">
      <c r="A566" s="91">
        <v>6020.5</v>
      </c>
      <c r="B566" s="31">
        <f t="shared" si="43"/>
        <v>2957591</v>
      </c>
      <c r="C566" s="31">
        <v>2997291</v>
      </c>
      <c r="D566">
        <v>35464</v>
      </c>
      <c r="E566" s="97">
        <f>[4]EvapRates!$D$16*'FlamingGorge-Elevation-Area'!D566</f>
        <v>74474.399999999994</v>
      </c>
      <c r="F566" s="3">
        <v>562</v>
      </c>
      <c r="H566" s="98">
        <f t="shared" si="40"/>
        <v>2997291</v>
      </c>
      <c r="I566" s="99">
        <f t="shared" si="39"/>
        <v>6020.5</v>
      </c>
      <c r="J566">
        <v>2997291</v>
      </c>
      <c r="N566" s="80"/>
      <c r="R566" s="80">
        <f t="shared" si="44"/>
        <v>6020.5</v>
      </c>
      <c r="S566">
        <f t="shared" si="41"/>
        <v>2997291</v>
      </c>
      <c r="T566" s="80">
        <f t="shared" si="42"/>
        <v>6020.5</v>
      </c>
    </row>
    <row r="567" spans="1:20" x14ac:dyDescent="0.25">
      <c r="A567" s="91">
        <v>6021</v>
      </c>
      <c r="B567" s="31">
        <f t="shared" si="43"/>
        <v>2975364</v>
      </c>
      <c r="C567" s="31">
        <v>3015064</v>
      </c>
      <c r="D567">
        <v>35628</v>
      </c>
      <c r="E567" s="97">
        <f>[4]EvapRates!$D$16*'FlamingGorge-Elevation-Area'!D567</f>
        <v>74818.799999999988</v>
      </c>
      <c r="F567" s="3">
        <v>563</v>
      </c>
      <c r="H567" s="98">
        <f t="shared" si="40"/>
        <v>3015064</v>
      </c>
      <c r="I567" s="99">
        <f t="shared" si="39"/>
        <v>6021</v>
      </c>
      <c r="J567">
        <v>3015064</v>
      </c>
      <c r="N567" s="80"/>
      <c r="R567" s="80">
        <f t="shared" si="44"/>
        <v>6021</v>
      </c>
      <c r="S567">
        <f t="shared" si="41"/>
        <v>3015064</v>
      </c>
      <c r="T567" s="80">
        <f t="shared" si="42"/>
        <v>6021</v>
      </c>
    </row>
    <row r="568" spans="1:20" x14ac:dyDescent="0.25">
      <c r="A568" s="91">
        <v>6021.5</v>
      </c>
      <c r="B568" s="31">
        <f t="shared" si="43"/>
        <v>2993219</v>
      </c>
      <c r="C568" s="31">
        <v>3032919</v>
      </c>
      <c r="D568">
        <v>35792</v>
      </c>
      <c r="E568" s="97">
        <f>[4]EvapRates!$D$16*'FlamingGorge-Elevation-Area'!D568</f>
        <v>75163.199999999983</v>
      </c>
      <c r="F568" s="3">
        <v>564</v>
      </c>
      <c r="H568" s="98">
        <f t="shared" si="40"/>
        <v>3032919</v>
      </c>
      <c r="I568" s="99">
        <f t="shared" si="39"/>
        <v>6021.5</v>
      </c>
      <c r="J568">
        <v>3032919</v>
      </c>
      <c r="N568" s="80"/>
      <c r="R568" s="80">
        <f t="shared" si="44"/>
        <v>6021.5</v>
      </c>
      <c r="S568">
        <f t="shared" si="41"/>
        <v>3032919</v>
      </c>
      <c r="T568" s="80">
        <f t="shared" si="42"/>
        <v>6021.5</v>
      </c>
    </row>
    <row r="569" spans="1:20" x14ac:dyDescent="0.25">
      <c r="A569" s="91">
        <v>6022</v>
      </c>
      <c r="B569" s="31">
        <f t="shared" si="43"/>
        <v>3011156</v>
      </c>
      <c r="C569" s="31">
        <v>3050856</v>
      </c>
      <c r="D569">
        <v>35956</v>
      </c>
      <c r="E569" s="97">
        <f>[4]EvapRates!$D$16*'FlamingGorge-Elevation-Area'!D569</f>
        <v>75507.599999999991</v>
      </c>
      <c r="F569" s="3">
        <v>565</v>
      </c>
      <c r="H569" s="98">
        <f t="shared" si="40"/>
        <v>3050856</v>
      </c>
      <c r="I569" s="99">
        <f t="shared" si="39"/>
        <v>6022</v>
      </c>
      <c r="J569">
        <v>3050856</v>
      </c>
      <c r="N569" s="80"/>
      <c r="R569" s="80">
        <f t="shared" si="44"/>
        <v>6022</v>
      </c>
      <c r="S569">
        <f t="shared" si="41"/>
        <v>3050856</v>
      </c>
      <c r="T569" s="80">
        <f t="shared" si="42"/>
        <v>6022</v>
      </c>
    </row>
    <row r="570" spans="1:20" x14ac:dyDescent="0.25">
      <c r="A570" s="91">
        <v>6022.5</v>
      </c>
      <c r="B570" s="31">
        <f t="shared" si="43"/>
        <v>3029175</v>
      </c>
      <c r="C570" s="31">
        <v>3068875</v>
      </c>
      <c r="D570">
        <v>36120</v>
      </c>
      <c r="E570" s="97">
        <f>[4]EvapRates!$D$16*'FlamingGorge-Elevation-Area'!D570</f>
        <v>75851.999999999985</v>
      </c>
      <c r="F570" s="3">
        <v>566</v>
      </c>
      <c r="H570" s="98">
        <f t="shared" si="40"/>
        <v>3068875</v>
      </c>
      <c r="I570" s="99">
        <f t="shared" si="39"/>
        <v>6022.5</v>
      </c>
      <c r="J570">
        <v>3068875</v>
      </c>
      <c r="N570" s="80"/>
      <c r="R570" s="80">
        <f t="shared" si="44"/>
        <v>6022.5</v>
      </c>
      <c r="S570">
        <f t="shared" si="41"/>
        <v>3068875</v>
      </c>
      <c r="T570" s="80">
        <f t="shared" si="42"/>
        <v>6022.5</v>
      </c>
    </row>
    <row r="571" spans="1:20" x14ac:dyDescent="0.25">
      <c r="A571" s="91">
        <v>6023</v>
      </c>
      <c r="B571" s="31">
        <f t="shared" si="43"/>
        <v>3047276</v>
      </c>
      <c r="C571" s="31">
        <v>3086976</v>
      </c>
      <c r="D571">
        <v>36284</v>
      </c>
      <c r="E571" s="97">
        <f>[4]EvapRates!$D$16*'FlamingGorge-Elevation-Area'!D571</f>
        <v>76196.399999999994</v>
      </c>
      <c r="F571" s="3">
        <v>567</v>
      </c>
      <c r="H571" s="98">
        <f t="shared" si="40"/>
        <v>3086976</v>
      </c>
      <c r="I571" s="99">
        <f t="shared" si="39"/>
        <v>6023</v>
      </c>
      <c r="J571">
        <v>3086976</v>
      </c>
      <c r="N571" s="80"/>
      <c r="R571" s="80">
        <f t="shared" si="44"/>
        <v>6023</v>
      </c>
      <c r="S571">
        <f t="shared" si="41"/>
        <v>3086976</v>
      </c>
      <c r="T571" s="80">
        <f t="shared" si="42"/>
        <v>6023</v>
      </c>
    </row>
    <row r="572" spans="1:20" x14ac:dyDescent="0.25">
      <c r="A572" s="91">
        <v>6023.5</v>
      </c>
      <c r="B572" s="31">
        <f t="shared" si="43"/>
        <v>3065459</v>
      </c>
      <c r="C572" s="31">
        <v>3105159</v>
      </c>
      <c r="D572">
        <v>36448</v>
      </c>
      <c r="E572" s="97">
        <f>[4]EvapRates!$D$16*'FlamingGorge-Elevation-Area'!D572</f>
        <v>76540.799999999988</v>
      </c>
      <c r="F572" s="3">
        <v>568</v>
      </c>
      <c r="H572" s="98">
        <f t="shared" si="40"/>
        <v>3105159</v>
      </c>
      <c r="I572" s="99">
        <f t="shared" si="39"/>
        <v>6023.5</v>
      </c>
      <c r="J572">
        <v>3105159</v>
      </c>
      <c r="N572" s="80"/>
      <c r="R572" s="80"/>
    </row>
    <row r="573" spans="1:20" x14ac:dyDescent="0.25">
      <c r="A573" s="91">
        <v>6024</v>
      </c>
      <c r="B573" s="31">
        <f t="shared" si="43"/>
        <v>3083724</v>
      </c>
      <c r="C573" s="31">
        <v>3123424</v>
      </c>
      <c r="D573">
        <v>36612</v>
      </c>
      <c r="E573" s="97">
        <f>[4]EvapRates!$D$16*'FlamingGorge-Elevation-Area'!D573</f>
        <v>76885.199999999983</v>
      </c>
      <c r="F573" s="3">
        <v>569</v>
      </c>
      <c r="H573" s="98">
        <f t="shared" si="40"/>
        <v>3123424</v>
      </c>
      <c r="I573" s="99">
        <f t="shared" si="39"/>
        <v>6024</v>
      </c>
      <c r="J573">
        <v>3123424</v>
      </c>
      <c r="N573" s="80"/>
      <c r="R573" s="80"/>
    </row>
    <row r="574" spans="1:20" x14ac:dyDescent="0.25">
      <c r="A574" s="91">
        <v>6024.5</v>
      </c>
      <c r="B574" s="31">
        <f t="shared" si="43"/>
        <v>3102071</v>
      </c>
      <c r="C574" s="31">
        <v>3141771</v>
      </c>
      <c r="D574">
        <v>36776</v>
      </c>
      <c r="E574" s="97">
        <f>[4]EvapRates!$D$16*'FlamingGorge-Elevation-Area'!D574</f>
        <v>77229.599999999991</v>
      </c>
      <c r="F574" s="3">
        <v>570</v>
      </c>
      <c r="H574" s="98">
        <f t="shared" si="40"/>
        <v>3141771</v>
      </c>
      <c r="I574" s="99">
        <f t="shared" si="39"/>
        <v>6024.5</v>
      </c>
      <c r="J574">
        <v>3141771</v>
      </c>
      <c r="N574" s="80"/>
      <c r="R574" s="80"/>
    </row>
    <row r="575" spans="1:20" x14ac:dyDescent="0.25">
      <c r="A575" s="91">
        <v>6025</v>
      </c>
      <c r="B575" s="31">
        <f t="shared" si="43"/>
        <v>3120500</v>
      </c>
      <c r="C575" s="31">
        <v>3160200</v>
      </c>
      <c r="D575">
        <v>36940</v>
      </c>
      <c r="E575" s="97">
        <f>[4]EvapRates!$D$16*'FlamingGorge-Elevation-Area'!D575</f>
        <v>77573.999999999985</v>
      </c>
      <c r="F575" s="3">
        <v>571</v>
      </c>
      <c r="H575" s="98">
        <f t="shared" si="40"/>
        <v>3160200</v>
      </c>
      <c r="I575" s="99">
        <f t="shared" si="39"/>
        <v>6025</v>
      </c>
      <c r="J575">
        <v>3160200</v>
      </c>
      <c r="N575" s="80"/>
      <c r="R575" s="80"/>
    </row>
    <row r="576" spans="1:20" x14ac:dyDescent="0.25">
      <c r="A576" s="91">
        <v>6025.5</v>
      </c>
      <c r="B576" s="31">
        <f t="shared" si="43"/>
        <v>3139011</v>
      </c>
      <c r="C576" s="31">
        <v>3178711</v>
      </c>
      <c r="D576">
        <v>37104</v>
      </c>
      <c r="E576" s="97">
        <f>[4]EvapRates!$D$16*'FlamingGorge-Elevation-Area'!D576</f>
        <v>77918.39999999998</v>
      </c>
      <c r="F576" s="3">
        <v>572</v>
      </c>
      <c r="H576" s="98">
        <f t="shared" si="40"/>
        <v>3178711</v>
      </c>
      <c r="I576" s="99">
        <f t="shared" si="39"/>
        <v>6025.5</v>
      </c>
      <c r="J576">
        <v>3178711</v>
      </c>
      <c r="N576" s="80"/>
      <c r="R576" s="80"/>
    </row>
    <row r="577" spans="1:18" x14ac:dyDescent="0.25">
      <c r="A577" s="91">
        <v>6026</v>
      </c>
      <c r="B577" s="31">
        <f t="shared" si="43"/>
        <v>3157604</v>
      </c>
      <c r="C577" s="31">
        <v>3197304</v>
      </c>
      <c r="D577">
        <v>37268</v>
      </c>
      <c r="E577" s="97">
        <f>[4]EvapRates!$D$16*'FlamingGorge-Elevation-Area'!D577</f>
        <v>78262.799999999988</v>
      </c>
      <c r="F577" s="3">
        <v>573</v>
      </c>
      <c r="H577" s="98">
        <f t="shared" si="40"/>
        <v>3197304</v>
      </c>
      <c r="I577" s="99">
        <f t="shared" si="39"/>
        <v>6026</v>
      </c>
      <c r="J577">
        <v>3197304</v>
      </c>
      <c r="N577" s="80"/>
      <c r="R577" s="80"/>
    </row>
    <row r="578" spans="1:18" x14ac:dyDescent="0.25">
      <c r="A578" s="91">
        <v>6026.5</v>
      </c>
      <c r="B578" s="31">
        <f t="shared" si="43"/>
        <v>3176279</v>
      </c>
      <c r="C578" s="31">
        <v>3215979</v>
      </c>
      <c r="D578">
        <v>37432</v>
      </c>
      <c r="E578" s="97">
        <f>[4]EvapRates!$D$16*'FlamingGorge-Elevation-Area'!D578</f>
        <v>78607.199999999983</v>
      </c>
      <c r="F578" s="3">
        <v>574</v>
      </c>
      <c r="H578" s="98">
        <f t="shared" si="40"/>
        <v>3215979</v>
      </c>
      <c r="I578" s="99">
        <f t="shared" si="39"/>
        <v>6026.5</v>
      </c>
      <c r="J578">
        <v>3215979</v>
      </c>
      <c r="N578" s="80"/>
      <c r="R578" s="80"/>
    </row>
    <row r="579" spans="1:18" x14ac:dyDescent="0.25">
      <c r="A579" s="91">
        <v>6027</v>
      </c>
      <c r="B579" s="31">
        <f t="shared" si="43"/>
        <v>3195036</v>
      </c>
      <c r="C579" s="31">
        <v>3234736</v>
      </c>
      <c r="D579">
        <v>37596</v>
      </c>
      <c r="E579" s="97">
        <f>[4]EvapRates!$D$16*'FlamingGorge-Elevation-Area'!D579</f>
        <v>78951.599999999991</v>
      </c>
      <c r="F579" s="3">
        <v>575</v>
      </c>
      <c r="H579" s="98">
        <f t="shared" si="40"/>
        <v>3234736</v>
      </c>
      <c r="I579" s="99">
        <f t="shared" si="39"/>
        <v>6027</v>
      </c>
      <c r="J579">
        <v>3234736</v>
      </c>
      <c r="N579" s="80"/>
      <c r="R579" s="80"/>
    </row>
    <row r="580" spans="1:18" x14ac:dyDescent="0.25">
      <c r="A580" s="91">
        <v>6027.5</v>
      </c>
      <c r="B580" s="31">
        <f t="shared" si="43"/>
        <v>3213875</v>
      </c>
      <c r="C580" s="31">
        <v>3253575</v>
      </c>
      <c r="D580">
        <v>37760</v>
      </c>
      <c r="E580" s="97">
        <f>[4]EvapRates!$D$16*'FlamingGorge-Elevation-Area'!D580</f>
        <v>79295.999999999985</v>
      </c>
      <c r="F580" s="3">
        <v>576</v>
      </c>
      <c r="H580" s="98">
        <f t="shared" si="40"/>
        <v>3253575</v>
      </c>
      <c r="I580" s="99">
        <f t="shared" si="39"/>
        <v>6027.5</v>
      </c>
      <c r="J580">
        <v>3253575</v>
      </c>
      <c r="N580" s="80"/>
      <c r="R580" s="80"/>
    </row>
    <row r="581" spans="1:18" x14ac:dyDescent="0.25">
      <c r="A581" s="91">
        <v>6028</v>
      </c>
      <c r="B581" s="31">
        <f t="shared" si="43"/>
        <v>3232796</v>
      </c>
      <c r="C581" s="31">
        <v>3272496</v>
      </c>
      <c r="D581">
        <v>37924</v>
      </c>
      <c r="E581" s="97">
        <f>[4]EvapRates!$D$16*'FlamingGorge-Elevation-Area'!D581</f>
        <v>79640.39999999998</v>
      </c>
      <c r="F581" s="3">
        <v>577</v>
      </c>
      <c r="H581" s="98">
        <f t="shared" si="40"/>
        <v>3272496</v>
      </c>
      <c r="I581" s="99">
        <f t="shared" ref="I581:I625" si="45">A581</f>
        <v>6028</v>
      </c>
      <c r="J581">
        <v>3272496</v>
      </c>
      <c r="N581" s="80"/>
      <c r="R581" s="80"/>
    </row>
    <row r="582" spans="1:18" x14ac:dyDescent="0.25">
      <c r="A582" s="91">
        <v>6028.5</v>
      </c>
      <c r="B582" s="31">
        <f t="shared" si="43"/>
        <v>3251799</v>
      </c>
      <c r="C582" s="31">
        <v>3291499</v>
      </c>
      <c r="D582">
        <v>38088</v>
      </c>
      <c r="E582" s="97">
        <f>[4]EvapRates!$D$16*'FlamingGorge-Elevation-Area'!D582</f>
        <v>79984.799999999988</v>
      </c>
      <c r="F582" s="3">
        <v>578</v>
      </c>
      <c r="H582" s="98">
        <f t="shared" ref="H582:H625" si="46">C582</f>
        <v>3291499</v>
      </c>
      <c r="I582" s="99">
        <f t="shared" si="45"/>
        <v>6028.5</v>
      </c>
      <c r="J582">
        <v>3291499</v>
      </c>
      <c r="N582" s="80"/>
      <c r="R582" s="80"/>
    </row>
    <row r="583" spans="1:18" x14ac:dyDescent="0.25">
      <c r="A583" s="91">
        <v>6029</v>
      </c>
      <c r="B583" s="31">
        <f t="shared" si="43"/>
        <v>3270884</v>
      </c>
      <c r="C583" s="31">
        <v>3310584</v>
      </c>
      <c r="D583">
        <v>38252</v>
      </c>
      <c r="E583" s="97">
        <f>[4]EvapRates!$D$16*'FlamingGorge-Elevation-Area'!D583</f>
        <v>80329.199999999983</v>
      </c>
      <c r="F583" s="3">
        <v>579</v>
      </c>
      <c r="H583" s="98">
        <f t="shared" si="46"/>
        <v>3310584</v>
      </c>
      <c r="I583" s="99">
        <f t="shared" si="45"/>
        <v>6029</v>
      </c>
      <c r="J583">
        <v>3310584</v>
      </c>
      <c r="N583" s="80"/>
      <c r="R583" s="80"/>
    </row>
    <row r="584" spans="1:18" x14ac:dyDescent="0.25">
      <c r="A584" s="91">
        <v>6029.5</v>
      </c>
      <c r="B584" s="31">
        <f t="shared" si="43"/>
        <v>3290051</v>
      </c>
      <c r="C584" s="31">
        <v>3329751</v>
      </c>
      <c r="D584">
        <v>38416</v>
      </c>
      <c r="E584" s="97">
        <f>[4]EvapRates!$D$16*'FlamingGorge-Elevation-Area'!D584</f>
        <v>80673.599999999991</v>
      </c>
      <c r="F584" s="3">
        <v>580</v>
      </c>
      <c r="H584" s="98">
        <f t="shared" si="46"/>
        <v>3329751</v>
      </c>
      <c r="I584" s="99">
        <f t="shared" si="45"/>
        <v>6029.5</v>
      </c>
      <c r="J584">
        <v>3329751</v>
      </c>
      <c r="N584" s="80"/>
      <c r="R584" s="80"/>
    </row>
    <row r="585" spans="1:18" x14ac:dyDescent="0.25">
      <c r="A585" s="91">
        <v>6030</v>
      </c>
      <c r="B585" s="31">
        <f t="shared" si="43"/>
        <v>3309300</v>
      </c>
      <c r="C585" s="31">
        <v>3349000</v>
      </c>
      <c r="D585">
        <v>38580</v>
      </c>
      <c r="E585" s="97">
        <f>[4]EvapRates!$D$16*'FlamingGorge-Elevation-Area'!D585</f>
        <v>81017.999999999985</v>
      </c>
      <c r="F585" s="3">
        <v>581</v>
      </c>
      <c r="H585" s="98">
        <f t="shared" si="46"/>
        <v>3349000</v>
      </c>
      <c r="I585" s="99">
        <f t="shared" si="45"/>
        <v>6030</v>
      </c>
      <c r="J585">
        <v>3349000</v>
      </c>
      <c r="N585" s="80"/>
      <c r="R585" s="80"/>
    </row>
    <row r="586" spans="1:18" x14ac:dyDescent="0.25">
      <c r="A586" s="91">
        <v>6030.5</v>
      </c>
      <c r="B586" s="31">
        <f t="shared" si="43"/>
        <v>3328633</v>
      </c>
      <c r="C586" s="31">
        <v>3368333</v>
      </c>
      <c r="D586">
        <v>38752</v>
      </c>
      <c r="E586" s="97">
        <f>[4]EvapRates!$D$16*'FlamingGorge-Elevation-Area'!D586</f>
        <v>81379.199999999983</v>
      </c>
      <c r="F586" s="3">
        <v>582</v>
      </c>
      <c r="H586" s="98">
        <f t="shared" si="46"/>
        <v>3368333</v>
      </c>
      <c r="I586" s="99">
        <f t="shared" si="45"/>
        <v>6030.5</v>
      </c>
      <c r="J586">
        <v>3368333</v>
      </c>
      <c r="N586" s="80"/>
      <c r="R586" s="80"/>
    </row>
    <row r="587" spans="1:18" x14ac:dyDescent="0.25">
      <c r="A587" s="91">
        <v>6031</v>
      </c>
      <c r="B587" s="31">
        <f t="shared" si="43"/>
        <v>3348052</v>
      </c>
      <c r="C587" s="31">
        <v>3387752</v>
      </c>
      <c r="D587">
        <v>38924</v>
      </c>
      <c r="E587" s="97">
        <f>[4]EvapRates!$D$16*'FlamingGorge-Elevation-Area'!D587</f>
        <v>81740.39999999998</v>
      </c>
      <c r="F587" s="3">
        <v>583</v>
      </c>
      <c r="H587" s="98">
        <f t="shared" si="46"/>
        <v>3387752</v>
      </c>
      <c r="I587" s="99">
        <f t="shared" si="45"/>
        <v>6031</v>
      </c>
      <c r="J587">
        <v>3387752</v>
      </c>
      <c r="N587" s="80"/>
      <c r="R587" s="80"/>
    </row>
    <row r="588" spans="1:18" x14ac:dyDescent="0.25">
      <c r="A588" s="91">
        <v>6031.5</v>
      </c>
      <c r="B588" s="31">
        <f t="shared" si="43"/>
        <v>3367557</v>
      </c>
      <c r="C588" s="31">
        <v>3407257</v>
      </c>
      <c r="D588">
        <v>39096</v>
      </c>
      <c r="E588" s="97">
        <f>[4]EvapRates!$D$16*'FlamingGorge-Elevation-Area'!D588</f>
        <v>82101.599999999991</v>
      </c>
      <c r="F588" s="3">
        <v>584</v>
      </c>
      <c r="H588" s="98">
        <f t="shared" si="46"/>
        <v>3407257</v>
      </c>
      <c r="I588" s="99">
        <f t="shared" si="45"/>
        <v>6031.5</v>
      </c>
      <c r="J588">
        <v>3407257</v>
      </c>
      <c r="N588" s="80"/>
      <c r="R588" s="80"/>
    </row>
    <row r="589" spans="1:18" x14ac:dyDescent="0.25">
      <c r="A589" s="91">
        <v>6032</v>
      </c>
      <c r="B589" s="31">
        <f t="shared" si="43"/>
        <v>3387148</v>
      </c>
      <c r="C589" s="31">
        <v>3426848</v>
      </c>
      <c r="D589">
        <v>39268</v>
      </c>
      <c r="E589" s="97">
        <f>[4]EvapRates!$D$16*'FlamingGorge-Elevation-Area'!D589</f>
        <v>82462.799999999988</v>
      </c>
      <c r="F589" s="3">
        <v>585</v>
      </c>
      <c r="H589" s="98">
        <f t="shared" si="46"/>
        <v>3426848</v>
      </c>
      <c r="I589" s="99">
        <f t="shared" si="45"/>
        <v>6032</v>
      </c>
      <c r="J589">
        <v>3426848</v>
      </c>
      <c r="N589" s="80"/>
      <c r="R589" s="80"/>
    </row>
    <row r="590" spans="1:18" x14ac:dyDescent="0.25">
      <c r="A590" s="91">
        <v>6032.5</v>
      </c>
      <c r="B590" s="31">
        <f t="shared" si="43"/>
        <v>3406825</v>
      </c>
      <c r="C590" s="31">
        <v>3446525</v>
      </c>
      <c r="D590">
        <v>39440</v>
      </c>
      <c r="E590" s="97">
        <f>[4]EvapRates!$D$16*'FlamingGorge-Elevation-Area'!D590</f>
        <v>82823.999999999985</v>
      </c>
      <c r="F590" s="3">
        <v>586</v>
      </c>
      <c r="H590" s="98">
        <f t="shared" si="46"/>
        <v>3446525</v>
      </c>
      <c r="I590" s="99">
        <f t="shared" si="45"/>
        <v>6032.5</v>
      </c>
      <c r="J590">
        <v>3446525</v>
      </c>
      <c r="N590" s="80"/>
      <c r="R590" s="80"/>
    </row>
    <row r="591" spans="1:18" x14ac:dyDescent="0.25">
      <c r="A591" s="91">
        <v>6033</v>
      </c>
      <c r="B591" s="31">
        <f t="shared" si="43"/>
        <v>3426588</v>
      </c>
      <c r="C591" s="31">
        <v>3466288</v>
      </c>
      <c r="D591">
        <v>39612</v>
      </c>
      <c r="E591" s="97">
        <f>[4]EvapRates!$D$16*'FlamingGorge-Elevation-Area'!D591</f>
        <v>83185.199999999983</v>
      </c>
      <c r="F591" s="3">
        <v>587</v>
      </c>
      <c r="H591" s="98">
        <f t="shared" si="46"/>
        <v>3466288</v>
      </c>
      <c r="I591" s="99">
        <f t="shared" si="45"/>
        <v>6033</v>
      </c>
      <c r="J591">
        <v>3466288</v>
      </c>
      <c r="N591" s="80"/>
      <c r="R591" s="80"/>
    </row>
    <row r="592" spans="1:18" x14ac:dyDescent="0.25">
      <c r="A592" s="91">
        <v>6033.5</v>
      </c>
      <c r="B592" s="31">
        <f t="shared" si="43"/>
        <v>3446437</v>
      </c>
      <c r="C592" s="31">
        <v>3486137</v>
      </c>
      <c r="D592">
        <v>39784</v>
      </c>
      <c r="E592" s="97">
        <f>[4]EvapRates!$D$16*'FlamingGorge-Elevation-Area'!D592</f>
        <v>83546.39999999998</v>
      </c>
      <c r="F592" s="3">
        <v>588</v>
      </c>
      <c r="H592" s="98">
        <f t="shared" si="46"/>
        <v>3486137</v>
      </c>
      <c r="I592" s="99">
        <f t="shared" si="45"/>
        <v>6033.5</v>
      </c>
      <c r="J592">
        <v>3486137</v>
      </c>
      <c r="N592" s="80"/>
      <c r="R592" s="80"/>
    </row>
    <row r="593" spans="1:18" x14ac:dyDescent="0.25">
      <c r="A593" s="91">
        <v>6034</v>
      </c>
      <c r="B593" s="31">
        <f t="shared" si="43"/>
        <v>3466372</v>
      </c>
      <c r="C593" s="31">
        <v>3506072</v>
      </c>
      <c r="D593">
        <v>39956</v>
      </c>
      <c r="E593" s="97">
        <f>[4]EvapRates!$D$16*'FlamingGorge-Elevation-Area'!D593</f>
        <v>83907.599999999991</v>
      </c>
      <c r="F593" s="3">
        <v>589</v>
      </c>
      <c r="H593" s="98">
        <f t="shared" si="46"/>
        <v>3506072</v>
      </c>
      <c r="I593" s="99">
        <f t="shared" si="45"/>
        <v>6034</v>
      </c>
      <c r="J593">
        <v>3506072</v>
      </c>
      <c r="N593" s="80"/>
      <c r="R593" s="80"/>
    </row>
    <row r="594" spans="1:18" x14ac:dyDescent="0.25">
      <c r="A594" s="91">
        <v>6034.5</v>
      </c>
      <c r="B594" s="31">
        <f t="shared" si="43"/>
        <v>3486393</v>
      </c>
      <c r="C594" s="31">
        <v>3526093</v>
      </c>
      <c r="D594">
        <v>40128</v>
      </c>
      <c r="E594" s="97">
        <f>[4]EvapRates!$D$16*'FlamingGorge-Elevation-Area'!D594</f>
        <v>84268.799999999988</v>
      </c>
      <c r="F594" s="3">
        <v>590</v>
      </c>
      <c r="H594" s="98">
        <f t="shared" si="46"/>
        <v>3526093</v>
      </c>
      <c r="I594" s="99">
        <f t="shared" si="45"/>
        <v>6034.5</v>
      </c>
      <c r="J594">
        <v>3526093</v>
      </c>
      <c r="N594" s="80"/>
      <c r="R594" s="80"/>
    </row>
    <row r="595" spans="1:18" x14ac:dyDescent="0.25">
      <c r="A595" s="91">
        <v>6035</v>
      </c>
      <c r="B595" s="31">
        <f t="shared" si="43"/>
        <v>3506500</v>
      </c>
      <c r="C595" s="31">
        <v>3546200</v>
      </c>
      <c r="D595">
        <v>40300</v>
      </c>
      <c r="E595" s="97">
        <f>[4]EvapRates!$D$16*'FlamingGorge-Elevation-Area'!D595</f>
        <v>84629.999999999985</v>
      </c>
      <c r="F595" s="3">
        <v>591</v>
      </c>
      <c r="H595" s="98">
        <f t="shared" si="46"/>
        <v>3546200</v>
      </c>
      <c r="I595" s="99">
        <f t="shared" si="45"/>
        <v>6035</v>
      </c>
      <c r="J595">
        <v>3546200</v>
      </c>
      <c r="N595" s="80"/>
      <c r="R595" s="80"/>
    </row>
    <row r="596" spans="1:18" x14ac:dyDescent="0.25">
      <c r="A596" s="91">
        <v>6035.5</v>
      </c>
      <c r="B596" s="31">
        <f t="shared" si="43"/>
        <v>3526693</v>
      </c>
      <c r="C596" s="31">
        <v>3566393</v>
      </c>
      <c r="D596">
        <v>40472</v>
      </c>
      <c r="E596" s="97">
        <f>[4]EvapRates!$D$16*'FlamingGorge-Elevation-Area'!D596</f>
        <v>84991.199999999983</v>
      </c>
      <c r="F596" s="3">
        <v>592</v>
      </c>
      <c r="H596" s="98">
        <f t="shared" si="46"/>
        <v>3566393</v>
      </c>
      <c r="I596" s="99">
        <f t="shared" si="45"/>
        <v>6035.5</v>
      </c>
      <c r="J596">
        <v>3566393</v>
      </c>
      <c r="N596" s="80"/>
      <c r="R596" s="80"/>
    </row>
    <row r="597" spans="1:18" x14ac:dyDescent="0.25">
      <c r="A597" s="91">
        <v>6036</v>
      </c>
      <c r="B597" s="31">
        <f t="shared" si="43"/>
        <v>3546972</v>
      </c>
      <c r="C597" s="31">
        <v>3586672</v>
      </c>
      <c r="D597">
        <v>40644</v>
      </c>
      <c r="E597" s="97">
        <f>[4]EvapRates!$D$16*'FlamingGorge-Elevation-Area'!D597</f>
        <v>85352.39999999998</v>
      </c>
      <c r="F597" s="3">
        <v>593</v>
      </c>
      <c r="H597" s="98">
        <f t="shared" si="46"/>
        <v>3586672</v>
      </c>
      <c r="I597" s="99">
        <f t="shared" si="45"/>
        <v>6036</v>
      </c>
      <c r="J597">
        <v>3586672</v>
      </c>
      <c r="N597" s="80"/>
      <c r="R597" s="80"/>
    </row>
    <row r="598" spans="1:18" x14ac:dyDescent="0.25">
      <c r="A598" s="91">
        <v>6036.5</v>
      </c>
      <c r="B598" s="31">
        <f t="shared" si="43"/>
        <v>3567337</v>
      </c>
      <c r="C598" s="31">
        <v>3607037</v>
      </c>
      <c r="D598">
        <v>40816</v>
      </c>
      <c r="E598" s="97">
        <f>[4]EvapRates!$D$16*'FlamingGorge-Elevation-Area'!D598</f>
        <v>85713.599999999991</v>
      </c>
      <c r="F598" s="3">
        <v>594</v>
      </c>
      <c r="H598" s="98">
        <f t="shared" si="46"/>
        <v>3607037</v>
      </c>
      <c r="I598" s="99">
        <f t="shared" si="45"/>
        <v>6036.5</v>
      </c>
      <c r="J598">
        <v>3607037</v>
      </c>
      <c r="N598" s="80"/>
      <c r="R598" s="80"/>
    </row>
    <row r="599" spans="1:18" x14ac:dyDescent="0.25">
      <c r="A599" s="91">
        <v>6037</v>
      </c>
      <c r="B599" s="31">
        <f t="shared" si="43"/>
        <v>3587788</v>
      </c>
      <c r="C599" s="31">
        <v>3627488</v>
      </c>
      <c r="D599">
        <v>40988</v>
      </c>
      <c r="E599" s="97">
        <f>[4]EvapRates!$D$16*'FlamingGorge-Elevation-Area'!D599</f>
        <v>86074.799999999988</v>
      </c>
      <c r="F599" s="3">
        <v>595</v>
      </c>
      <c r="H599" s="98">
        <f t="shared" si="46"/>
        <v>3627488</v>
      </c>
      <c r="I599" s="99">
        <f t="shared" si="45"/>
        <v>6037</v>
      </c>
      <c r="J599">
        <v>3627488</v>
      </c>
      <c r="N599" s="80"/>
      <c r="R599" s="80"/>
    </row>
    <row r="600" spans="1:18" x14ac:dyDescent="0.25">
      <c r="A600" s="91">
        <v>6037.5</v>
      </c>
      <c r="B600" s="31">
        <f t="shared" si="43"/>
        <v>3608325</v>
      </c>
      <c r="C600" s="31">
        <v>3648025</v>
      </c>
      <c r="D600">
        <v>41160</v>
      </c>
      <c r="E600" s="97">
        <f>[4]EvapRates!$D$16*'FlamingGorge-Elevation-Area'!D600</f>
        <v>86435.999999999985</v>
      </c>
      <c r="F600" s="3">
        <v>596</v>
      </c>
      <c r="H600" s="98">
        <f t="shared" si="46"/>
        <v>3648025</v>
      </c>
      <c r="I600" s="99">
        <f t="shared" si="45"/>
        <v>6037.5</v>
      </c>
      <c r="J600">
        <v>3648025</v>
      </c>
      <c r="N600" s="80"/>
      <c r="R600" s="80"/>
    </row>
    <row r="601" spans="1:18" x14ac:dyDescent="0.25">
      <c r="A601" s="91">
        <v>6038</v>
      </c>
      <c r="B601" s="31">
        <f t="shared" si="43"/>
        <v>3628948</v>
      </c>
      <c r="C601" s="31">
        <v>3668648</v>
      </c>
      <c r="D601">
        <v>41332</v>
      </c>
      <c r="E601" s="97">
        <f>[4]EvapRates!$D$16*'FlamingGorge-Elevation-Area'!D601</f>
        <v>86797.199999999983</v>
      </c>
      <c r="F601" s="3">
        <v>597</v>
      </c>
      <c r="H601" s="98">
        <f t="shared" si="46"/>
        <v>3668648</v>
      </c>
      <c r="I601" s="99">
        <f t="shared" si="45"/>
        <v>6038</v>
      </c>
      <c r="J601">
        <v>3668648</v>
      </c>
      <c r="N601" s="80"/>
      <c r="R601" s="80"/>
    </row>
    <row r="602" spans="1:18" x14ac:dyDescent="0.25">
      <c r="A602" s="91">
        <v>6038.5</v>
      </c>
      <c r="B602" s="31">
        <f t="shared" si="43"/>
        <v>3649657</v>
      </c>
      <c r="C602" s="31">
        <v>3689357</v>
      </c>
      <c r="D602">
        <v>41504</v>
      </c>
      <c r="E602" s="97">
        <f>[4]EvapRates!$D$16*'FlamingGorge-Elevation-Area'!D602</f>
        <v>87158.39999999998</v>
      </c>
      <c r="F602" s="3">
        <v>598</v>
      </c>
      <c r="H602" s="98">
        <f t="shared" si="46"/>
        <v>3689357</v>
      </c>
      <c r="I602" s="99">
        <f t="shared" si="45"/>
        <v>6038.5</v>
      </c>
      <c r="J602">
        <v>3689357</v>
      </c>
      <c r="N602" s="80"/>
      <c r="R602" s="80"/>
    </row>
    <row r="603" spans="1:18" x14ac:dyDescent="0.25">
      <c r="A603" s="91">
        <v>6039</v>
      </c>
      <c r="B603" s="31">
        <f t="shared" si="43"/>
        <v>3670452</v>
      </c>
      <c r="C603" s="31">
        <v>3710152</v>
      </c>
      <c r="D603">
        <v>41676</v>
      </c>
      <c r="E603" s="97">
        <f>[4]EvapRates!$D$16*'FlamingGorge-Elevation-Area'!D603</f>
        <v>87519.599999999991</v>
      </c>
      <c r="F603" s="3">
        <v>599</v>
      </c>
      <c r="H603" s="98">
        <f t="shared" si="46"/>
        <v>3710152</v>
      </c>
      <c r="I603" s="99">
        <f t="shared" si="45"/>
        <v>6039</v>
      </c>
      <c r="J603">
        <v>3710152</v>
      </c>
      <c r="N603" s="80"/>
      <c r="R603" s="80"/>
    </row>
    <row r="604" spans="1:18" x14ac:dyDescent="0.25">
      <c r="A604" s="91">
        <v>6039.5</v>
      </c>
      <c r="B604" s="31">
        <f t="shared" si="43"/>
        <v>3691333</v>
      </c>
      <c r="C604" s="31">
        <v>3731033</v>
      </c>
      <c r="D604">
        <v>41848</v>
      </c>
      <c r="E604" s="97">
        <f>[4]EvapRates!$D$16*'FlamingGorge-Elevation-Area'!D604</f>
        <v>87880.799999999988</v>
      </c>
      <c r="F604" s="3">
        <v>600</v>
      </c>
      <c r="H604" s="98">
        <f t="shared" si="46"/>
        <v>3731033</v>
      </c>
      <c r="I604" s="99">
        <f t="shared" si="45"/>
        <v>6039.5</v>
      </c>
      <c r="J604">
        <v>3731033</v>
      </c>
      <c r="N604" s="80"/>
      <c r="R604" s="80"/>
    </row>
    <row r="605" spans="1:18" x14ac:dyDescent="0.25">
      <c r="A605" s="91">
        <v>6040</v>
      </c>
      <c r="B605" s="31">
        <f t="shared" si="43"/>
        <v>3712300</v>
      </c>
      <c r="C605" s="31">
        <v>3752000</v>
      </c>
      <c r="D605">
        <v>42020</v>
      </c>
      <c r="E605" s="97">
        <f>[4]EvapRates!$D$16*'FlamingGorge-Elevation-Area'!D605</f>
        <v>88241.999999999985</v>
      </c>
      <c r="F605" s="3">
        <v>601</v>
      </c>
      <c r="H605" s="98">
        <f t="shared" si="46"/>
        <v>3752000</v>
      </c>
      <c r="I605" s="99">
        <f t="shared" si="45"/>
        <v>6040</v>
      </c>
      <c r="J605">
        <v>3752000</v>
      </c>
      <c r="N605" s="80"/>
      <c r="R605" s="80"/>
    </row>
    <row r="606" spans="1:18" x14ac:dyDescent="0.25">
      <c r="A606" s="91">
        <v>6040.5</v>
      </c>
      <c r="B606" s="31">
        <f t="shared" si="43"/>
        <v>3733344</v>
      </c>
      <c r="C606" s="31">
        <v>3773044</v>
      </c>
      <c r="D606">
        <v>42156</v>
      </c>
      <c r="E606" s="97">
        <f>[4]EvapRates!$D$16*'FlamingGorge-Elevation-Area'!D606</f>
        <v>88527.599999999991</v>
      </c>
      <c r="F606" s="3">
        <v>602</v>
      </c>
      <c r="H606" s="98">
        <f t="shared" si="46"/>
        <v>3773044</v>
      </c>
      <c r="I606" s="99">
        <f t="shared" si="45"/>
        <v>6040.5</v>
      </c>
      <c r="J606">
        <v>3773044</v>
      </c>
      <c r="R606" s="80"/>
    </row>
    <row r="607" spans="1:18" x14ac:dyDescent="0.25">
      <c r="A607" s="91">
        <v>6041</v>
      </c>
      <c r="B607" s="31">
        <f t="shared" ref="B607:B625" si="47">C607-39700</f>
        <v>3754456</v>
      </c>
      <c r="C607" s="31">
        <v>3794156</v>
      </c>
      <c r="D607">
        <v>42292</v>
      </c>
      <c r="E607" s="97">
        <f>[4]EvapRates!$D$16*'FlamingGorge-Elevation-Area'!D607</f>
        <v>88813.199999999983</v>
      </c>
      <c r="F607" s="3">
        <v>603</v>
      </c>
      <c r="H607" s="98">
        <f t="shared" si="46"/>
        <v>3794156</v>
      </c>
      <c r="I607" s="99">
        <f t="shared" si="45"/>
        <v>6041</v>
      </c>
      <c r="J607">
        <v>3794156</v>
      </c>
      <c r="R607" s="80"/>
    </row>
    <row r="608" spans="1:18" x14ac:dyDescent="0.25">
      <c r="A608" s="91">
        <v>6041.5</v>
      </c>
      <c r="B608" s="31">
        <f t="shared" si="47"/>
        <v>3775636</v>
      </c>
      <c r="C608" s="31">
        <v>3815336</v>
      </c>
      <c r="D608">
        <v>42428</v>
      </c>
      <c r="E608" s="97">
        <f>[4]EvapRates!$D$16*'FlamingGorge-Elevation-Area'!D608</f>
        <v>89098.799999999988</v>
      </c>
      <c r="F608" s="3">
        <v>604</v>
      </c>
      <c r="H608" s="98">
        <f t="shared" si="46"/>
        <v>3815336</v>
      </c>
      <c r="I608" s="99">
        <f t="shared" si="45"/>
        <v>6041.5</v>
      </c>
      <c r="J608">
        <v>3815336</v>
      </c>
      <c r="R608" s="80"/>
    </row>
    <row r="609" spans="1:18" x14ac:dyDescent="0.25">
      <c r="A609" s="91">
        <v>6042</v>
      </c>
      <c r="B609" s="31">
        <f t="shared" si="47"/>
        <v>3796884</v>
      </c>
      <c r="C609" s="31">
        <v>3836584</v>
      </c>
      <c r="D609">
        <v>42564</v>
      </c>
      <c r="E609" s="97">
        <f>[4]EvapRates!$D$16*'FlamingGorge-Elevation-Area'!D609</f>
        <v>89384.39999999998</v>
      </c>
      <c r="F609" s="3">
        <v>605</v>
      </c>
      <c r="H609" s="98">
        <f t="shared" si="46"/>
        <v>3836584</v>
      </c>
      <c r="I609" s="99">
        <f t="shared" si="45"/>
        <v>6042</v>
      </c>
      <c r="J609">
        <v>3836584</v>
      </c>
      <c r="R609" s="80"/>
    </row>
    <row r="610" spans="1:18" x14ac:dyDescent="0.25">
      <c r="A610" s="91">
        <v>6042.5</v>
      </c>
      <c r="B610" s="31">
        <f t="shared" si="47"/>
        <v>3818200</v>
      </c>
      <c r="C610" s="31">
        <v>3857900</v>
      </c>
      <c r="D610">
        <v>42700</v>
      </c>
      <c r="E610" s="97">
        <f>[4]EvapRates!$D$16*'FlamingGorge-Elevation-Area'!D610</f>
        <v>89669.999999999985</v>
      </c>
      <c r="F610" s="3">
        <v>606</v>
      </c>
      <c r="H610" s="98">
        <f t="shared" si="46"/>
        <v>3857900</v>
      </c>
      <c r="I610" s="99">
        <f t="shared" si="45"/>
        <v>6042.5</v>
      </c>
      <c r="J610">
        <v>3857900</v>
      </c>
      <c r="R610" s="80"/>
    </row>
    <row r="611" spans="1:18" x14ac:dyDescent="0.25">
      <c r="A611" s="91">
        <v>6043</v>
      </c>
      <c r="B611" s="31">
        <f t="shared" si="47"/>
        <v>3839584</v>
      </c>
      <c r="C611" s="31">
        <v>3879284</v>
      </c>
      <c r="D611">
        <v>42836</v>
      </c>
      <c r="E611" s="97">
        <f>[4]EvapRates!$D$16*'FlamingGorge-Elevation-Area'!D611</f>
        <v>89955.599999999991</v>
      </c>
      <c r="F611" s="3">
        <v>607</v>
      </c>
      <c r="H611" s="98">
        <f t="shared" si="46"/>
        <v>3879284</v>
      </c>
      <c r="I611" s="99">
        <f t="shared" si="45"/>
        <v>6043</v>
      </c>
      <c r="J611">
        <v>3879284</v>
      </c>
      <c r="R611" s="80"/>
    </row>
    <row r="612" spans="1:18" x14ac:dyDescent="0.25">
      <c r="A612" s="91">
        <v>6043.5</v>
      </c>
      <c r="B612" s="31">
        <f t="shared" si="47"/>
        <v>3861036</v>
      </c>
      <c r="C612" s="31">
        <v>3900736</v>
      </c>
      <c r="D612">
        <v>42972</v>
      </c>
      <c r="E612" s="97">
        <f>[4]EvapRates!$D$16*'FlamingGorge-Elevation-Area'!D612</f>
        <v>90241.199999999983</v>
      </c>
      <c r="F612" s="3">
        <v>608</v>
      </c>
      <c r="H612" s="98">
        <f t="shared" si="46"/>
        <v>3900736</v>
      </c>
      <c r="I612" s="99">
        <f t="shared" si="45"/>
        <v>6043.5</v>
      </c>
      <c r="J612">
        <v>3900736</v>
      </c>
      <c r="R612" s="80"/>
    </row>
    <row r="613" spans="1:18" x14ac:dyDescent="0.25">
      <c r="A613" s="91">
        <v>6044</v>
      </c>
      <c r="B613" s="31">
        <f t="shared" si="47"/>
        <v>3882556</v>
      </c>
      <c r="C613" s="31">
        <v>3922256</v>
      </c>
      <c r="D613">
        <v>43108</v>
      </c>
      <c r="E613" s="97">
        <f>[4]EvapRates!$D$16*'FlamingGorge-Elevation-Area'!D613</f>
        <v>90526.799999999988</v>
      </c>
      <c r="F613" s="3">
        <v>609</v>
      </c>
      <c r="H613" s="98">
        <f t="shared" si="46"/>
        <v>3922256</v>
      </c>
      <c r="I613" s="99">
        <f t="shared" si="45"/>
        <v>6044</v>
      </c>
      <c r="J613">
        <v>3922256</v>
      </c>
      <c r="R613" s="80"/>
    </row>
    <row r="614" spans="1:18" x14ac:dyDescent="0.25">
      <c r="A614" s="91">
        <v>6044.5</v>
      </c>
      <c r="B614" s="31">
        <f t="shared" si="47"/>
        <v>3904144</v>
      </c>
      <c r="C614" s="31">
        <v>3943844</v>
      </c>
      <c r="D614">
        <v>43244</v>
      </c>
      <c r="E614" s="97">
        <f>[4]EvapRates!$D$16*'FlamingGorge-Elevation-Area'!D614</f>
        <v>90812.39999999998</v>
      </c>
      <c r="F614" s="3">
        <v>610</v>
      </c>
      <c r="H614" s="98">
        <f t="shared" si="46"/>
        <v>3943844</v>
      </c>
      <c r="I614" s="99">
        <f t="shared" si="45"/>
        <v>6044.5</v>
      </c>
      <c r="J614">
        <v>3943844</v>
      </c>
      <c r="R614" s="80"/>
    </row>
    <row r="615" spans="1:18" x14ac:dyDescent="0.25">
      <c r="A615" s="91">
        <v>6045</v>
      </c>
      <c r="B615" s="31">
        <f t="shared" si="47"/>
        <v>3925800</v>
      </c>
      <c r="C615" s="31">
        <v>3965500</v>
      </c>
      <c r="D615">
        <v>43380</v>
      </c>
      <c r="E615" s="97">
        <f>[4]EvapRates!$D$16*'FlamingGorge-Elevation-Area'!D615</f>
        <v>91097.999999999985</v>
      </c>
      <c r="F615" s="3">
        <v>611</v>
      </c>
      <c r="H615" s="98">
        <f t="shared" si="46"/>
        <v>3965500</v>
      </c>
      <c r="I615" s="99">
        <f t="shared" si="45"/>
        <v>6045</v>
      </c>
      <c r="J615">
        <v>3965500</v>
      </c>
      <c r="R615" s="80"/>
    </row>
    <row r="616" spans="1:18" x14ac:dyDescent="0.25">
      <c r="A616" s="91">
        <v>6045.5</v>
      </c>
      <c r="B616" s="31">
        <f t="shared" si="47"/>
        <v>3947524</v>
      </c>
      <c r="C616" s="31">
        <v>3987224</v>
      </c>
      <c r="D616">
        <v>43516</v>
      </c>
      <c r="E616" s="97">
        <f>[4]EvapRates!$D$16*'FlamingGorge-Elevation-Area'!D616</f>
        <v>91383.599999999991</v>
      </c>
      <c r="F616" s="3">
        <v>612</v>
      </c>
      <c r="H616" s="98">
        <f t="shared" si="46"/>
        <v>3987224</v>
      </c>
      <c r="I616" s="99">
        <f t="shared" si="45"/>
        <v>6045.5</v>
      </c>
      <c r="J616">
        <v>3987224</v>
      </c>
      <c r="R616" s="80"/>
    </row>
    <row r="617" spans="1:18" x14ac:dyDescent="0.25">
      <c r="A617" s="91">
        <v>6046</v>
      </c>
      <c r="B617" s="31">
        <f t="shared" si="47"/>
        <v>3969316</v>
      </c>
      <c r="C617" s="31">
        <v>4009016</v>
      </c>
      <c r="D617">
        <v>43652</v>
      </c>
      <c r="E617" s="97">
        <f>[4]EvapRates!$D$16*'FlamingGorge-Elevation-Area'!D617</f>
        <v>91669.199999999983</v>
      </c>
      <c r="F617" s="3">
        <v>613</v>
      </c>
      <c r="H617" s="98">
        <f t="shared" si="46"/>
        <v>4009016</v>
      </c>
      <c r="I617" s="99">
        <f t="shared" si="45"/>
        <v>6046</v>
      </c>
      <c r="J617">
        <v>4009016</v>
      </c>
      <c r="R617" s="80"/>
    </row>
    <row r="618" spans="1:18" x14ac:dyDescent="0.25">
      <c r="A618" s="91">
        <v>6046.5</v>
      </c>
      <c r="B618" s="31">
        <f t="shared" si="47"/>
        <v>3991176</v>
      </c>
      <c r="C618" s="31">
        <v>4030876</v>
      </c>
      <c r="D618">
        <v>43788</v>
      </c>
      <c r="E618" s="97">
        <f>[4]EvapRates!$D$16*'FlamingGorge-Elevation-Area'!D618</f>
        <v>91954.799999999988</v>
      </c>
      <c r="F618" s="3">
        <v>614</v>
      </c>
      <c r="H618" s="98">
        <f t="shared" si="46"/>
        <v>4030876</v>
      </c>
      <c r="I618" s="99">
        <f t="shared" si="45"/>
        <v>6046.5</v>
      </c>
      <c r="J618">
        <v>4030876</v>
      </c>
      <c r="R618" s="80"/>
    </row>
    <row r="619" spans="1:18" x14ac:dyDescent="0.25">
      <c r="A619" s="91">
        <v>6047</v>
      </c>
      <c r="B619" s="31">
        <f t="shared" si="47"/>
        <v>4013104</v>
      </c>
      <c r="C619" s="31">
        <v>4052804</v>
      </c>
      <c r="D619">
        <v>43924</v>
      </c>
      <c r="E619" s="97">
        <f>[4]EvapRates!$D$16*'FlamingGorge-Elevation-Area'!D619</f>
        <v>92240.39999999998</v>
      </c>
      <c r="F619" s="3">
        <v>615</v>
      </c>
      <c r="H619" s="98">
        <f t="shared" si="46"/>
        <v>4052804</v>
      </c>
      <c r="I619" s="99">
        <f t="shared" si="45"/>
        <v>6047</v>
      </c>
      <c r="J619">
        <v>4052804</v>
      </c>
      <c r="R619" s="80"/>
    </row>
    <row r="620" spans="1:18" x14ac:dyDescent="0.25">
      <c r="A620" s="91">
        <v>6047.5</v>
      </c>
      <c r="B620" s="31">
        <f t="shared" si="47"/>
        <v>4035100</v>
      </c>
      <c r="C620" s="31">
        <v>4074800</v>
      </c>
      <c r="D620">
        <v>44060</v>
      </c>
      <c r="E620" s="97">
        <f>[4]EvapRates!$D$16*'FlamingGorge-Elevation-Area'!D620</f>
        <v>92525.999999999985</v>
      </c>
      <c r="F620" s="3">
        <v>616</v>
      </c>
      <c r="H620" s="98">
        <f t="shared" si="46"/>
        <v>4074800</v>
      </c>
      <c r="I620" s="99">
        <f t="shared" si="45"/>
        <v>6047.5</v>
      </c>
      <c r="J620">
        <v>4074800</v>
      </c>
      <c r="R620" s="80"/>
    </row>
    <row r="621" spans="1:18" x14ac:dyDescent="0.25">
      <c r="A621" s="91">
        <v>6048</v>
      </c>
      <c r="B621" s="31">
        <f t="shared" si="47"/>
        <v>4057164</v>
      </c>
      <c r="C621" s="31">
        <v>4096864</v>
      </c>
      <c r="D621">
        <v>44196</v>
      </c>
      <c r="E621" s="97">
        <f>[4]EvapRates!$D$16*'FlamingGorge-Elevation-Area'!D621</f>
        <v>92811.599999999991</v>
      </c>
      <c r="F621" s="3">
        <v>617</v>
      </c>
      <c r="H621" s="98">
        <f t="shared" si="46"/>
        <v>4096864</v>
      </c>
      <c r="I621" s="99">
        <f t="shared" si="45"/>
        <v>6048</v>
      </c>
      <c r="J621">
        <v>4096864</v>
      </c>
      <c r="R621" s="80"/>
    </row>
    <row r="622" spans="1:18" x14ac:dyDescent="0.25">
      <c r="A622" s="91">
        <v>6048.5</v>
      </c>
      <c r="B622" s="31">
        <f t="shared" si="47"/>
        <v>4079296</v>
      </c>
      <c r="C622" s="31">
        <v>4118996</v>
      </c>
      <c r="D622">
        <v>44332</v>
      </c>
      <c r="E622" s="97">
        <f>[4]EvapRates!$D$16*'FlamingGorge-Elevation-Area'!D622</f>
        <v>93097.199999999983</v>
      </c>
      <c r="F622" s="3">
        <v>618</v>
      </c>
      <c r="H622" s="98">
        <f t="shared" si="46"/>
        <v>4118996</v>
      </c>
      <c r="I622" s="99">
        <f t="shared" si="45"/>
        <v>6048.5</v>
      </c>
      <c r="J622">
        <v>4118996</v>
      </c>
      <c r="R622" s="80"/>
    </row>
    <row r="623" spans="1:18" x14ac:dyDescent="0.25">
      <c r="A623" s="91">
        <v>6049</v>
      </c>
      <c r="B623" s="31">
        <f t="shared" si="47"/>
        <v>4101496</v>
      </c>
      <c r="C623" s="31">
        <v>4141196</v>
      </c>
      <c r="D623">
        <v>44468</v>
      </c>
      <c r="E623" s="97">
        <f>[4]EvapRates!$D$16*'FlamingGorge-Elevation-Area'!D623</f>
        <v>93382.799999999988</v>
      </c>
      <c r="F623" s="3">
        <v>619</v>
      </c>
      <c r="H623" s="98">
        <f t="shared" si="46"/>
        <v>4141196</v>
      </c>
      <c r="I623" s="99">
        <f t="shared" si="45"/>
        <v>6049</v>
      </c>
      <c r="J623">
        <v>4141196</v>
      </c>
      <c r="R623" s="80"/>
    </row>
    <row r="624" spans="1:18" x14ac:dyDescent="0.25">
      <c r="A624" s="91">
        <v>6049.5</v>
      </c>
      <c r="B624" s="31">
        <f t="shared" si="47"/>
        <v>4123764</v>
      </c>
      <c r="C624" s="31">
        <v>4163464</v>
      </c>
      <c r="D624">
        <v>44604</v>
      </c>
      <c r="E624" s="97">
        <f>[4]EvapRates!$D$16*'FlamingGorge-Elevation-Area'!D624</f>
        <v>93668.39999999998</v>
      </c>
      <c r="F624" s="3">
        <v>620</v>
      </c>
      <c r="H624" s="98">
        <f t="shared" si="46"/>
        <v>4163464</v>
      </c>
      <c r="I624" s="99">
        <f t="shared" si="45"/>
        <v>6049.5</v>
      </c>
      <c r="J624">
        <v>4163464</v>
      </c>
      <c r="R624" s="80"/>
    </row>
    <row r="625" spans="1:18" x14ac:dyDescent="0.25">
      <c r="A625" s="91">
        <v>6050</v>
      </c>
      <c r="B625" s="31">
        <f t="shared" si="47"/>
        <v>999960300</v>
      </c>
      <c r="C625" s="31">
        <v>1000000000</v>
      </c>
      <c r="D625">
        <v>1000000000</v>
      </c>
      <c r="E625" s="97">
        <f>[4]EvapRates!$D$16*'FlamingGorge-Elevation-Area'!D625</f>
        <v>2099999999.9999998</v>
      </c>
      <c r="F625" s="3">
        <v>621</v>
      </c>
      <c r="H625" s="98">
        <f t="shared" si="46"/>
        <v>1000000000</v>
      </c>
      <c r="I625" s="99">
        <f t="shared" si="45"/>
        <v>6050</v>
      </c>
      <c r="J625">
        <v>1000000000</v>
      </c>
      <c r="R625" s="80"/>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GAMS MODEL TRADE OFFS</vt:lpstr>
      <vt:lpstr>EXCEL MODEL(DOES NOT WORK)</vt:lpstr>
      <vt:lpstr>Basic Reservoir Data</vt:lpstr>
      <vt:lpstr>Monthly Flow Demands</vt:lpstr>
      <vt:lpstr>WaterYears</vt:lpstr>
      <vt:lpstr>HydropowerData</vt:lpstr>
      <vt:lpstr>FlamingGorge-Elevation-Area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Campana</dc:creator>
  <cp:lastModifiedBy>Sharp Student</cp:lastModifiedBy>
  <dcterms:created xsi:type="dcterms:W3CDTF">2020-12-08T01:52:51Z</dcterms:created>
  <dcterms:modified xsi:type="dcterms:W3CDTF">2020-12-13T08:02:26Z</dcterms:modified>
</cp:coreProperties>
</file>